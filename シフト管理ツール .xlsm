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"/>
    </mc:Choice>
  </mc:AlternateContent>
  <xr:revisionPtr revIDLastSave="0" documentId="13_ncr:1_{212AA496-36AF-4798-BA6A-1F939390F26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個別シフト表" sheetId="2" r:id="rId1"/>
    <sheet name="管理台帳" sheetId="1" r:id="rId2"/>
    <sheet name="給与集計" sheetId="3" r:id="rId3"/>
    <sheet name="謝礼集計" sheetId="4" r:id="rId4"/>
  </sheets>
  <functionGroups builtInGroupCount="19"/>
  <definedNames>
    <definedName name="_xlnm._FilterDatabase" localSheetId="3" hidden="1">謝礼集計!$A$2:$G$3</definedName>
    <definedName name="_xlnm.Print_Area" localSheetId="3">謝礼集計!$A$1:$G$89,謝礼集計!$K$1:$W$89</definedName>
    <definedName name="_xlnm.Print_Titles" localSheetId="3">謝礼集計!$2:$3</definedName>
    <definedName name="氏名">個別シフト表!$B$2</definedName>
    <definedName name="台帳_A深夜範囲">給与集計!$AA$11</definedName>
    <definedName name="台帳_A通常範囲">給与集計!$AA$10</definedName>
    <definedName name="台帳_B通常範囲">給与集計!$AA$12</definedName>
    <definedName name="台帳_氏名範囲">給与集計!$AA$8</definedName>
    <definedName name="台帳_集計月">給与集計!$B$1</definedName>
    <definedName name="台帳_例月範囲">給与集計!$AA$9</definedName>
    <definedName name="例月区分">個別シフト表!$A$2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L2" i="1"/>
  <c r="K2" i="1"/>
  <c r="J2" i="1"/>
  <c r="K1" i="4"/>
  <c r="A1" i="4"/>
  <c r="R5" i="4" l="1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L40" i="4"/>
  <c r="K41" i="4"/>
  <c r="L41" i="4"/>
  <c r="K42" i="4"/>
  <c r="L42" i="4"/>
  <c r="K43" i="4"/>
  <c r="L43" i="4"/>
  <c r="K44" i="4"/>
  <c r="L44" i="4"/>
  <c r="K45" i="4"/>
  <c r="L45" i="4"/>
  <c r="K46" i="4"/>
  <c r="L46" i="4"/>
  <c r="K47" i="4"/>
  <c r="L47" i="4"/>
  <c r="K48" i="4"/>
  <c r="L48" i="4"/>
  <c r="K49" i="4"/>
  <c r="L49" i="4"/>
  <c r="K50" i="4"/>
  <c r="L50" i="4"/>
  <c r="K51" i="4"/>
  <c r="L51" i="4"/>
  <c r="K52" i="4"/>
  <c r="L52" i="4"/>
  <c r="K53" i="4"/>
  <c r="L53" i="4"/>
  <c r="K54" i="4"/>
  <c r="L54" i="4"/>
  <c r="K55" i="4"/>
  <c r="L55" i="4"/>
  <c r="K56" i="4"/>
  <c r="L56" i="4"/>
  <c r="K57" i="4"/>
  <c r="L57" i="4"/>
  <c r="K58" i="4"/>
  <c r="L58" i="4"/>
  <c r="K59" i="4"/>
  <c r="L59" i="4"/>
  <c r="K60" i="4"/>
  <c r="L60" i="4"/>
  <c r="K61" i="4"/>
  <c r="L61" i="4"/>
  <c r="K62" i="4"/>
  <c r="L62" i="4"/>
  <c r="K63" i="4"/>
  <c r="L63" i="4"/>
  <c r="K64" i="4"/>
  <c r="L64" i="4"/>
  <c r="K65" i="4"/>
  <c r="L65" i="4"/>
  <c r="K66" i="4"/>
  <c r="L66" i="4"/>
  <c r="K67" i="4"/>
  <c r="L67" i="4"/>
  <c r="K68" i="4"/>
  <c r="L68" i="4"/>
  <c r="K69" i="4"/>
  <c r="L69" i="4"/>
  <c r="K70" i="4"/>
  <c r="L70" i="4"/>
  <c r="K71" i="4"/>
  <c r="L71" i="4"/>
  <c r="K72" i="4"/>
  <c r="L72" i="4"/>
  <c r="K73" i="4"/>
  <c r="L73" i="4"/>
  <c r="K74" i="4"/>
  <c r="L74" i="4"/>
  <c r="K75" i="4"/>
  <c r="L75" i="4"/>
  <c r="K76" i="4"/>
  <c r="L76" i="4"/>
  <c r="K77" i="4"/>
  <c r="L77" i="4"/>
  <c r="K78" i="4"/>
  <c r="L78" i="4"/>
  <c r="K79" i="4"/>
  <c r="L79" i="4"/>
  <c r="K80" i="4"/>
  <c r="L80" i="4"/>
  <c r="K81" i="4"/>
  <c r="L81" i="4"/>
  <c r="K82" i="4"/>
  <c r="L82" i="4"/>
  <c r="K83" i="4"/>
  <c r="L83" i="4"/>
  <c r="K84" i="4"/>
  <c r="L84" i="4"/>
  <c r="K85" i="4"/>
  <c r="L85" i="4"/>
  <c r="K86" i="4"/>
  <c r="L86" i="4"/>
  <c r="K87" i="4"/>
  <c r="L87" i="4"/>
  <c r="K88" i="4"/>
  <c r="L88" i="4"/>
  <c r="K89" i="4"/>
  <c r="L89" i="4"/>
  <c r="L4" i="4"/>
  <c r="B4" i="4"/>
  <c r="K4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S88" i="4" l="1"/>
  <c r="U88" i="4" s="1"/>
  <c r="V88" i="4" s="1"/>
  <c r="S84" i="4"/>
  <c r="U84" i="4" s="1"/>
  <c r="V84" i="4" s="1"/>
  <c r="S80" i="4"/>
  <c r="U80" i="4" s="1"/>
  <c r="V80" i="4" s="1"/>
  <c r="S76" i="4"/>
  <c r="U76" i="4" s="1"/>
  <c r="V76" i="4" s="1"/>
  <c r="S72" i="4"/>
  <c r="U72" i="4" s="1"/>
  <c r="V72" i="4" s="1"/>
  <c r="S68" i="4"/>
  <c r="U68" i="4" s="1"/>
  <c r="V68" i="4" s="1"/>
  <c r="S64" i="4"/>
  <c r="U64" i="4" s="1"/>
  <c r="V64" i="4" s="1"/>
  <c r="S60" i="4"/>
  <c r="U60" i="4" s="1"/>
  <c r="V60" i="4" s="1"/>
  <c r="S56" i="4"/>
  <c r="U56" i="4" s="1"/>
  <c r="V56" i="4" s="1"/>
  <c r="S52" i="4"/>
  <c r="U52" i="4" s="1"/>
  <c r="V52" i="4" s="1"/>
  <c r="S48" i="4"/>
  <c r="U48" i="4" s="1"/>
  <c r="V48" i="4" s="1"/>
  <c r="S44" i="4"/>
  <c r="U44" i="4" s="1"/>
  <c r="V44" i="4" s="1"/>
  <c r="S40" i="4"/>
  <c r="U40" i="4" s="1"/>
  <c r="V40" i="4" s="1"/>
  <c r="S36" i="4"/>
  <c r="U36" i="4" s="1"/>
  <c r="V36" i="4" s="1"/>
  <c r="S32" i="4"/>
  <c r="U32" i="4" s="1"/>
  <c r="V32" i="4" s="1"/>
  <c r="S28" i="4"/>
  <c r="U28" i="4" s="1"/>
  <c r="V28" i="4" s="1"/>
  <c r="S24" i="4"/>
  <c r="U24" i="4" s="1"/>
  <c r="V24" i="4" s="1"/>
  <c r="S20" i="4"/>
  <c r="U20" i="4" s="1"/>
  <c r="V20" i="4" s="1"/>
  <c r="S16" i="4"/>
  <c r="U16" i="4" s="1"/>
  <c r="V16" i="4" s="1"/>
  <c r="S12" i="4"/>
  <c r="U12" i="4" s="1"/>
  <c r="V12" i="4" s="1"/>
  <c r="S8" i="4"/>
  <c r="U8" i="4" s="1"/>
  <c r="V8" i="4" s="1"/>
  <c r="S83" i="4"/>
  <c r="U83" i="4" s="1"/>
  <c r="V83" i="4" s="1"/>
  <c r="S79" i="4"/>
  <c r="U79" i="4" s="1"/>
  <c r="V79" i="4" s="1"/>
  <c r="S71" i="4"/>
  <c r="U71" i="4" s="1"/>
  <c r="V71" i="4" s="1"/>
  <c r="S67" i="4"/>
  <c r="U67" i="4" s="1"/>
  <c r="V67" i="4" s="1"/>
  <c r="S55" i="4"/>
  <c r="U55" i="4" s="1"/>
  <c r="V55" i="4" s="1"/>
  <c r="S51" i="4"/>
  <c r="U51" i="4" s="1"/>
  <c r="V51" i="4" s="1"/>
  <c r="S43" i="4"/>
  <c r="U43" i="4" s="1"/>
  <c r="V43" i="4" s="1"/>
  <c r="S35" i="4"/>
  <c r="U35" i="4" s="1"/>
  <c r="V35" i="4" s="1"/>
  <c r="S27" i="4"/>
  <c r="U27" i="4" s="1"/>
  <c r="V27" i="4" s="1"/>
  <c r="S19" i="4"/>
  <c r="U19" i="4" s="1"/>
  <c r="V19" i="4" s="1"/>
  <c r="S15" i="4"/>
  <c r="U15" i="4" s="1"/>
  <c r="V15" i="4" s="1"/>
  <c r="S7" i="4"/>
  <c r="U7" i="4" s="1"/>
  <c r="V7" i="4" s="1"/>
  <c r="S87" i="4"/>
  <c r="U87" i="4" s="1"/>
  <c r="V87" i="4" s="1"/>
  <c r="S75" i="4"/>
  <c r="U75" i="4" s="1"/>
  <c r="V75" i="4" s="1"/>
  <c r="S59" i="4"/>
  <c r="U59" i="4" s="1"/>
  <c r="V59" i="4" s="1"/>
  <c r="S47" i="4"/>
  <c r="U47" i="4" s="1"/>
  <c r="V47" i="4" s="1"/>
  <c r="S39" i="4"/>
  <c r="U39" i="4" s="1"/>
  <c r="V39" i="4" s="1"/>
  <c r="S31" i="4"/>
  <c r="U31" i="4" s="1"/>
  <c r="V31" i="4" s="1"/>
  <c r="S23" i="4"/>
  <c r="U23" i="4" s="1"/>
  <c r="V23" i="4" s="1"/>
  <c r="S11" i="4"/>
  <c r="U11" i="4" s="1"/>
  <c r="V11" i="4" s="1"/>
  <c r="S63" i="4"/>
  <c r="U63" i="4" s="1"/>
  <c r="V63" i="4" s="1"/>
  <c r="S86" i="4"/>
  <c r="U86" i="4" s="1"/>
  <c r="V86" i="4" s="1"/>
  <c r="S78" i="4"/>
  <c r="U78" i="4" s="1"/>
  <c r="V78" i="4" s="1"/>
  <c r="S74" i="4"/>
  <c r="U74" i="4" s="1"/>
  <c r="V74" i="4" s="1"/>
  <c r="S66" i="4"/>
  <c r="U66" i="4" s="1"/>
  <c r="V66" i="4" s="1"/>
  <c r="S58" i="4"/>
  <c r="U58" i="4" s="1"/>
  <c r="V58" i="4" s="1"/>
  <c r="S50" i="4"/>
  <c r="U50" i="4" s="1"/>
  <c r="V50" i="4" s="1"/>
  <c r="S46" i="4"/>
  <c r="U46" i="4" s="1"/>
  <c r="V46" i="4" s="1"/>
  <c r="S38" i="4"/>
  <c r="U38" i="4" s="1"/>
  <c r="V38" i="4" s="1"/>
  <c r="S14" i="4"/>
  <c r="U14" i="4" s="1"/>
  <c r="V14" i="4" s="1"/>
  <c r="S89" i="4"/>
  <c r="U89" i="4" s="1"/>
  <c r="V89" i="4" s="1"/>
  <c r="S85" i="4"/>
  <c r="U85" i="4" s="1"/>
  <c r="V85" i="4" s="1"/>
  <c r="S81" i="4"/>
  <c r="U81" i="4" s="1"/>
  <c r="V81" i="4" s="1"/>
  <c r="S77" i="4"/>
  <c r="U77" i="4" s="1"/>
  <c r="V77" i="4" s="1"/>
  <c r="S73" i="4"/>
  <c r="U73" i="4" s="1"/>
  <c r="V73" i="4" s="1"/>
  <c r="S69" i="4"/>
  <c r="U69" i="4" s="1"/>
  <c r="V69" i="4" s="1"/>
  <c r="S65" i="4"/>
  <c r="U65" i="4" s="1"/>
  <c r="V65" i="4" s="1"/>
  <c r="S61" i="4"/>
  <c r="U61" i="4" s="1"/>
  <c r="V61" i="4" s="1"/>
  <c r="S57" i="4"/>
  <c r="U57" i="4" s="1"/>
  <c r="V57" i="4" s="1"/>
  <c r="S53" i="4"/>
  <c r="U53" i="4" s="1"/>
  <c r="V53" i="4" s="1"/>
  <c r="S49" i="4"/>
  <c r="U49" i="4" s="1"/>
  <c r="V49" i="4" s="1"/>
  <c r="S45" i="4"/>
  <c r="U45" i="4" s="1"/>
  <c r="V45" i="4" s="1"/>
  <c r="S41" i="4"/>
  <c r="U41" i="4" s="1"/>
  <c r="V41" i="4" s="1"/>
  <c r="S37" i="4"/>
  <c r="U37" i="4" s="1"/>
  <c r="V37" i="4" s="1"/>
  <c r="S33" i="4"/>
  <c r="U33" i="4" s="1"/>
  <c r="V33" i="4" s="1"/>
  <c r="S29" i="4"/>
  <c r="U29" i="4" s="1"/>
  <c r="V29" i="4" s="1"/>
  <c r="S25" i="4"/>
  <c r="U25" i="4" s="1"/>
  <c r="V25" i="4" s="1"/>
  <c r="S21" i="4"/>
  <c r="U21" i="4" s="1"/>
  <c r="V21" i="4" s="1"/>
  <c r="S17" i="4"/>
  <c r="U17" i="4" s="1"/>
  <c r="V17" i="4" s="1"/>
  <c r="S13" i="4"/>
  <c r="U13" i="4" s="1"/>
  <c r="V13" i="4" s="1"/>
  <c r="S9" i="4"/>
  <c r="U9" i="4" s="1"/>
  <c r="V9" i="4" s="1"/>
  <c r="S5" i="4"/>
  <c r="U5" i="4" s="1"/>
  <c r="V5" i="4" s="1"/>
  <c r="S4" i="4"/>
  <c r="U4" i="4" s="1"/>
  <c r="V4" i="4" s="1"/>
  <c r="S82" i="4"/>
  <c r="U82" i="4" s="1"/>
  <c r="V82" i="4" s="1"/>
  <c r="S70" i="4"/>
  <c r="U70" i="4" s="1"/>
  <c r="V70" i="4" s="1"/>
  <c r="S62" i="4"/>
  <c r="U62" i="4" s="1"/>
  <c r="V62" i="4" s="1"/>
  <c r="S54" i="4"/>
  <c r="U54" i="4" s="1"/>
  <c r="V54" i="4" s="1"/>
  <c r="S42" i="4"/>
  <c r="U42" i="4" s="1"/>
  <c r="V42" i="4" s="1"/>
  <c r="S34" i="4"/>
  <c r="U34" i="4" s="1"/>
  <c r="V34" i="4" s="1"/>
  <c r="S30" i="4"/>
  <c r="U30" i="4" s="1"/>
  <c r="V30" i="4" s="1"/>
  <c r="S26" i="4"/>
  <c r="U26" i="4" s="1"/>
  <c r="V26" i="4" s="1"/>
  <c r="S22" i="4"/>
  <c r="U22" i="4" s="1"/>
  <c r="V22" i="4" s="1"/>
  <c r="S18" i="4"/>
  <c r="U18" i="4" s="1"/>
  <c r="V18" i="4" s="1"/>
  <c r="S10" i="4"/>
  <c r="U10" i="4" s="1"/>
  <c r="V10" i="4" s="1"/>
  <c r="S6" i="4"/>
  <c r="U6" i="4" s="1"/>
  <c r="V6" i="4" s="1"/>
  <c r="Z9" i="3" l="1"/>
  <c r="Z8" i="3"/>
  <c r="Z11" i="3"/>
  <c r="Z12" i="3"/>
  <c r="Z10" i="3"/>
  <c r="E7" i="2"/>
  <c r="Z5" i="3"/>
  <c r="AA8" i="3"/>
  <c r="AA10" i="3"/>
  <c r="AA11" i="3"/>
  <c r="AA9" i="3"/>
  <c r="AA12" i="3"/>
  <c r="A7" i="2" l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K5" i="3"/>
  <c r="E90" i="3"/>
  <c r="K88" i="3"/>
  <c r="N81" i="3"/>
  <c r="E76" i="3"/>
  <c r="N75" i="3"/>
  <c r="G81" i="3"/>
  <c r="K20" i="3"/>
  <c r="P48" i="3"/>
  <c r="G51" i="3"/>
  <c r="P50" i="3"/>
  <c r="E46" i="3"/>
  <c r="K83" i="3"/>
  <c r="N37" i="3"/>
  <c r="E16" i="3"/>
  <c r="N15" i="3"/>
  <c r="G21" i="3"/>
  <c r="K15" i="3"/>
  <c r="N88" i="3"/>
  <c r="G7" i="3"/>
  <c r="P6" i="3"/>
  <c r="E73" i="3"/>
  <c r="K46" i="3"/>
  <c r="N60" i="3"/>
  <c r="G38" i="3"/>
  <c r="N58" i="3"/>
  <c r="G64" i="3"/>
  <c r="P37" i="3"/>
  <c r="E81" i="3"/>
  <c r="K62" i="3"/>
  <c r="N64" i="3"/>
  <c r="G70" i="3"/>
  <c r="N66" i="3"/>
  <c r="G72" i="3"/>
  <c r="K81" i="3"/>
  <c r="N20" i="3"/>
  <c r="G14" i="3"/>
  <c r="P41" i="3"/>
  <c r="E37" i="3"/>
  <c r="K41" i="3"/>
  <c r="N56" i="3"/>
  <c r="G42" i="3"/>
  <c r="P88" i="3"/>
  <c r="G12" i="3"/>
  <c r="P90" i="3"/>
  <c r="E86" i="3"/>
  <c r="K80" i="3"/>
  <c r="N77" i="3"/>
  <c r="E56" i="3"/>
  <c r="N55" i="3"/>
  <c r="G61" i="3"/>
  <c r="K12" i="3"/>
  <c r="P44" i="3"/>
  <c r="G47" i="3"/>
  <c r="P46" i="3"/>
  <c r="E64" i="3"/>
  <c r="N63" i="3"/>
  <c r="G69" i="3"/>
  <c r="K28" i="3"/>
  <c r="P52" i="3"/>
  <c r="G55" i="3"/>
  <c r="P54" i="3"/>
  <c r="E34" i="3"/>
  <c r="K59" i="3"/>
  <c r="N25" i="3"/>
  <c r="E20" i="3"/>
  <c r="N19" i="3"/>
  <c r="G25" i="3"/>
  <c r="K74" i="3"/>
  <c r="N76" i="3"/>
  <c r="E79" i="3"/>
  <c r="P81" i="3"/>
  <c r="E77" i="3"/>
  <c r="K54" i="3"/>
  <c r="P19" i="3"/>
  <c r="G6" i="3"/>
  <c r="N46" i="3"/>
  <c r="G52" i="3"/>
  <c r="K45" i="3"/>
  <c r="N8" i="3"/>
  <c r="E39" i="3"/>
  <c r="K23" i="3"/>
  <c r="P8" i="3"/>
  <c r="G11" i="3"/>
  <c r="P10" i="3"/>
  <c r="E6" i="3"/>
  <c r="K86" i="3"/>
  <c r="P83" i="3"/>
  <c r="G54" i="3"/>
  <c r="N62" i="3"/>
  <c r="G68" i="3"/>
  <c r="K18" i="3"/>
  <c r="P9" i="3"/>
  <c r="E19" i="3"/>
  <c r="P53" i="3"/>
  <c r="E33" i="3"/>
  <c r="K9" i="3"/>
  <c r="N40" i="3"/>
  <c r="G62" i="3"/>
  <c r="N18" i="3"/>
  <c r="G24" i="3"/>
  <c r="P78" i="3"/>
  <c r="E82" i="3"/>
  <c r="K72" i="3"/>
  <c r="N73" i="3"/>
  <c r="E68" i="3"/>
  <c r="N67" i="3"/>
  <c r="G73" i="3"/>
  <c r="E49" i="3"/>
  <c r="K85" i="3"/>
  <c r="N34" i="3"/>
  <c r="G40" i="3"/>
  <c r="G58" i="3"/>
  <c r="N83" i="3"/>
  <c r="G59" i="3"/>
  <c r="N45" i="3"/>
  <c r="G29" i="3"/>
  <c r="G15" i="3"/>
  <c r="N31" i="3"/>
  <c r="P20" i="3"/>
  <c r="E89" i="3"/>
  <c r="G74" i="3"/>
  <c r="K10" i="3"/>
  <c r="P49" i="3"/>
  <c r="K77" i="3"/>
  <c r="N14" i="3"/>
  <c r="N16" i="3"/>
  <c r="K87" i="3"/>
  <c r="P40" i="3"/>
  <c r="G43" i="3"/>
  <c r="P42" i="3"/>
  <c r="E38" i="3"/>
  <c r="K67" i="3"/>
  <c r="N29" i="3"/>
  <c r="E8" i="3"/>
  <c r="N7" i="3"/>
  <c r="G13" i="3"/>
  <c r="K82" i="3"/>
  <c r="N80" i="3"/>
  <c r="E83" i="3"/>
  <c r="P85" i="3"/>
  <c r="E65" i="3"/>
  <c r="K30" i="3"/>
  <c r="N28" i="3"/>
  <c r="G8" i="3"/>
  <c r="N50" i="3"/>
  <c r="G56" i="3"/>
  <c r="K65" i="3"/>
  <c r="P27" i="3"/>
  <c r="G34" i="3"/>
  <c r="P25" i="3"/>
  <c r="E21" i="3"/>
  <c r="K61" i="3"/>
  <c r="N36" i="3"/>
  <c r="K57" i="3"/>
  <c r="P59" i="3"/>
  <c r="G66" i="3"/>
  <c r="P33" i="3"/>
  <c r="E29" i="3"/>
  <c r="K49" i="3"/>
  <c r="P11" i="3"/>
  <c r="K84" i="3"/>
  <c r="P80" i="3"/>
  <c r="G83" i="3"/>
  <c r="P82" i="3"/>
  <c r="E78" i="3"/>
  <c r="K64" i="3"/>
  <c r="N69" i="3"/>
  <c r="E48" i="3"/>
  <c r="N47" i="3"/>
  <c r="G53" i="3"/>
  <c r="K79" i="3"/>
  <c r="P36" i="3"/>
  <c r="G39" i="3"/>
  <c r="P38" i="3"/>
  <c r="E18" i="3"/>
  <c r="K27" i="3"/>
  <c r="N9" i="3"/>
  <c r="G90" i="3"/>
  <c r="N90" i="3"/>
  <c r="G9" i="3"/>
  <c r="P75" i="3"/>
  <c r="E26" i="3"/>
  <c r="K43" i="3"/>
  <c r="N17" i="3"/>
  <c r="E12" i="3"/>
  <c r="N11" i="3"/>
  <c r="G17" i="3"/>
  <c r="K58" i="3"/>
  <c r="P35" i="3"/>
  <c r="E71" i="3"/>
  <c r="P73" i="3"/>
  <c r="E69" i="3"/>
  <c r="K38" i="3"/>
  <c r="N44" i="3"/>
  <c r="E9" i="3"/>
  <c r="N38" i="3"/>
  <c r="G44" i="3"/>
  <c r="K25" i="3"/>
  <c r="P43" i="3"/>
  <c r="G50" i="3"/>
  <c r="P29" i="3"/>
  <c r="E88" i="3"/>
  <c r="K21" i="3"/>
  <c r="G5" i="3"/>
  <c r="K76" i="3"/>
  <c r="P76" i="3"/>
  <c r="G79" i="3"/>
  <c r="G22" i="3"/>
  <c r="N54" i="3"/>
  <c r="G60" i="3"/>
  <c r="K89" i="3"/>
  <c r="P55" i="3"/>
  <c r="G46" i="3"/>
  <c r="P45" i="3"/>
  <c r="E25" i="3"/>
  <c r="K17" i="3"/>
  <c r="N68" i="3"/>
  <c r="E11" i="3"/>
  <c r="N10" i="3"/>
  <c r="G16" i="3"/>
  <c r="N79" i="3"/>
  <c r="E74" i="3"/>
  <c r="K56" i="3"/>
  <c r="N65" i="3"/>
  <c r="E60" i="3"/>
  <c r="N59" i="3"/>
  <c r="G65" i="3"/>
  <c r="K71" i="3"/>
  <c r="P32" i="3"/>
  <c r="G35" i="3"/>
  <c r="P34" i="3"/>
  <c r="E30" i="3"/>
  <c r="K51" i="3"/>
  <c r="N21" i="3"/>
  <c r="E23" i="3"/>
  <c r="P51" i="3"/>
  <c r="E84" i="3"/>
  <c r="K36" i="3"/>
  <c r="P56" i="3"/>
  <c r="E54" i="3"/>
  <c r="E24" i="3"/>
  <c r="K31" i="3"/>
  <c r="P14" i="3"/>
  <c r="G37" i="3"/>
  <c r="P22" i="3"/>
  <c r="P79" i="3"/>
  <c r="G80" i="3"/>
  <c r="N24" i="3"/>
  <c r="E45" i="3"/>
  <c r="E43" i="3"/>
  <c r="G26" i="3"/>
  <c r="N22" i="3"/>
  <c r="G86" i="3"/>
  <c r="N86" i="3"/>
  <c r="E5" i="3"/>
  <c r="K66" i="3"/>
  <c r="P67" i="3"/>
  <c r="E75" i="3"/>
  <c r="P77" i="3"/>
  <c r="E57" i="3"/>
  <c r="K14" i="3"/>
  <c r="N6" i="3"/>
  <c r="E27" i="3"/>
  <c r="N42" i="3"/>
  <c r="G48" i="3"/>
  <c r="K7" i="3"/>
  <c r="N52" i="3"/>
  <c r="E59" i="3"/>
  <c r="P17" i="3"/>
  <c r="E13" i="3"/>
  <c r="K53" i="3"/>
  <c r="N32" i="3"/>
  <c r="K52" i="3"/>
  <c r="P64" i="3"/>
  <c r="G67" i="3"/>
  <c r="P66" i="3"/>
  <c r="E62" i="3"/>
  <c r="K32" i="3"/>
  <c r="N53" i="3"/>
  <c r="K68" i="3"/>
  <c r="P72" i="3"/>
  <c r="G75" i="3"/>
  <c r="P74" i="3"/>
  <c r="E70" i="3"/>
  <c r="K48" i="3"/>
  <c r="N61" i="3"/>
  <c r="E40" i="3"/>
  <c r="N39" i="3"/>
  <c r="G45" i="3"/>
  <c r="K63" i="3"/>
  <c r="P28" i="3"/>
  <c r="G31" i="3"/>
  <c r="P30" i="3"/>
  <c r="E10" i="3"/>
  <c r="K11" i="3"/>
  <c r="P87" i="3"/>
  <c r="G82" i="3"/>
  <c r="N82" i="3"/>
  <c r="G88" i="3"/>
  <c r="K26" i="3"/>
  <c r="P15" i="3"/>
  <c r="E35" i="3"/>
  <c r="P57" i="3"/>
  <c r="E53" i="3"/>
  <c r="K6" i="3"/>
  <c r="P71" i="3"/>
  <c r="K42" i="3"/>
  <c r="P47" i="3"/>
  <c r="E67" i="3"/>
  <c r="P65" i="3"/>
  <c r="E61" i="3"/>
  <c r="K22" i="3"/>
  <c r="N12" i="3"/>
  <c r="E63" i="3"/>
  <c r="N30" i="3"/>
  <c r="G36" i="3"/>
  <c r="K33" i="3"/>
  <c r="P7" i="3"/>
  <c r="G18" i="3"/>
  <c r="P21" i="3"/>
  <c r="E80" i="3"/>
  <c r="N87" i="3"/>
  <c r="G85" i="3"/>
  <c r="K60" i="3"/>
  <c r="P68" i="3"/>
  <c r="G71" i="3"/>
  <c r="P70" i="3"/>
  <c r="E50" i="3"/>
  <c r="K8" i="3"/>
  <c r="N41" i="3"/>
  <c r="E36" i="3"/>
  <c r="N35" i="3"/>
  <c r="G41" i="3"/>
  <c r="E17" i="3"/>
  <c r="K13" i="3"/>
  <c r="P5" i="3"/>
  <c r="G10" i="3"/>
  <c r="P84" i="3"/>
  <c r="G87" i="3"/>
  <c r="P86" i="3"/>
  <c r="E66" i="3"/>
  <c r="K40" i="3"/>
  <c r="N57" i="3"/>
  <c r="E52" i="3"/>
  <c r="N51" i="3"/>
  <c r="G57" i="3"/>
  <c r="K55" i="3"/>
  <c r="P24" i="3"/>
  <c r="G27" i="3"/>
  <c r="P26" i="3"/>
  <c r="E22" i="3"/>
  <c r="K35" i="3"/>
  <c r="N13" i="3"/>
  <c r="G78" i="3"/>
  <c r="N78" i="3"/>
  <c r="G84" i="3"/>
  <c r="K50" i="3"/>
  <c r="P63" i="3"/>
  <c r="E7" i="3"/>
  <c r="P39" i="3"/>
  <c r="K69" i="3"/>
  <c r="N89" i="3"/>
  <c r="G89" i="3"/>
  <c r="P58" i="3"/>
  <c r="K16" i="3"/>
  <c r="N23" i="3"/>
  <c r="P12" i="3"/>
  <c r="E32" i="3"/>
  <c r="K47" i="3"/>
  <c r="G23" i="3"/>
  <c r="K78" i="3"/>
  <c r="N74" i="3"/>
  <c r="E15" i="3"/>
  <c r="N48" i="3"/>
  <c r="G20" i="3"/>
  <c r="K37" i="3"/>
  <c r="N85" i="3"/>
  <c r="E31" i="3"/>
  <c r="G30" i="3"/>
  <c r="G77" i="3"/>
  <c r="P62" i="3"/>
  <c r="E28" i="3"/>
  <c r="N84" i="3"/>
  <c r="K70" i="3"/>
  <c r="N49" i="3"/>
  <c r="K39" i="3"/>
  <c r="E14" i="3"/>
  <c r="N70" i="3"/>
  <c r="E51" i="3"/>
  <c r="N72" i="3"/>
  <c r="P13" i="3"/>
  <c r="E42" i="3"/>
  <c r="E87" i="3"/>
  <c r="P69" i="3"/>
  <c r="P16" i="3"/>
  <c r="K19" i="3"/>
  <c r="E47" i="3"/>
  <c r="N43" i="3"/>
  <c r="K34" i="3"/>
  <c r="P23" i="3"/>
  <c r="E85" i="3"/>
  <c r="P18" i="3"/>
  <c r="K73" i="3"/>
  <c r="G28" i="3"/>
  <c r="K44" i="3"/>
  <c r="N27" i="3"/>
  <c r="E44" i="3"/>
  <c r="G76" i="3"/>
  <c r="P61" i="3"/>
  <c r="N5" i="3"/>
  <c r="N26" i="3"/>
  <c r="N71" i="3"/>
  <c r="K90" i="3"/>
  <c r="G49" i="3"/>
  <c r="P31" i="3"/>
  <c r="K29" i="3"/>
  <c r="E72" i="3"/>
  <c r="P60" i="3"/>
  <c r="K75" i="3"/>
  <c r="G33" i="3"/>
  <c r="P89" i="3"/>
  <c r="E58" i="3"/>
  <c r="G19" i="3"/>
  <c r="E41" i="3"/>
  <c r="G63" i="3"/>
  <c r="N33" i="3"/>
  <c r="K24" i="3"/>
  <c r="E55" i="3"/>
  <c r="G32" i="3"/>
  <c r="Q72" i="3" l="1"/>
  <c r="R72" i="3" s="1"/>
  <c r="L24" i="3"/>
  <c r="M24" i="3" s="1"/>
  <c r="S36" i="3"/>
  <c r="C35" i="4" s="1"/>
  <c r="E35" i="4" s="1"/>
  <c r="F35" i="4" s="1"/>
  <c r="H28" i="3"/>
  <c r="S78" i="3"/>
  <c r="C77" i="4" s="1"/>
  <c r="E77" i="4" s="1"/>
  <c r="F77" i="4" s="1"/>
  <c r="S46" i="3"/>
  <c r="C45" i="4" s="1"/>
  <c r="E45" i="4" s="1"/>
  <c r="F45" i="4" s="1"/>
  <c r="Q65" i="3"/>
  <c r="R65" i="3" s="1"/>
  <c r="H46" i="3"/>
  <c r="I46" i="3" s="1"/>
  <c r="S64" i="3"/>
  <c r="C63" i="4" s="1"/>
  <c r="E63" i="4" s="1"/>
  <c r="F63" i="4" s="1"/>
  <c r="L21" i="3"/>
  <c r="M21" i="3" s="1"/>
  <c r="S61" i="3"/>
  <c r="C60" i="4" s="1"/>
  <c r="E60" i="4" s="1"/>
  <c r="F60" i="4" s="1"/>
  <c r="Q62" i="3"/>
  <c r="R62" i="3" s="1"/>
  <c r="L56" i="3"/>
  <c r="M56" i="3" s="1"/>
  <c r="S40" i="3"/>
  <c r="C39" i="4" s="1"/>
  <c r="E39" i="4" s="1"/>
  <c r="F39" i="4" s="1"/>
  <c r="L66" i="3"/>
  <c r="M66" i="3" s="1"/>
  <c r="Q20" i="3"/>
  <c r="R20" i="3" s="1"/>
  <c r="L83" i="3"/>
  <c r="M83" i="3" s="1"/>
  <c r="S10" i="3"/>
  <c r="C9" i="4" s="1"/>
  <c r="E9" i="4" s="1"/>
  <c r="F9" i="4" s="1"/>
  <c r="Q59" i="3"/>
  <c r="R59" i="3" s="1"/>
  <c r="S81" i="3"/>
  <c r="C80" i="4" s="1"/>
  <c r="E80" i="4" s="1"/>
  <c r="F80" i="4" s="1"/>
  <c r="Q17" i="3"/>
  <c r="R17" i="3" s="1"/>
  <c r="L68" i="3"/>
  <c r="M68" i="3" s="1"/>
  <c r="H45" i="3"/>
  <c r="I45" i="3" s="1"/>
  <c r="Q47" i="3"/>
  <c r="R47" i="3" s="1"/>
  <c r="S55" i="3"/>
  <c r="C54" i="4" s="1"/>
  <c r="E54" i="4" s="1"/>
  <c r="F54" i="4" s="1"/>
  <c r="L11" i="3"/>
  <c r="M11" i="3" s="1"/>
  <c r="H78" i="3"/>
  <c r="I78" i="3" s="1"/>
  <c r="Q58" i="3"/>
  <c r="R58" i="3" s="1"/>
  <c r="S26" i="3"/>
  <c r="C25" i="4" s="1"/>
  <c r="E25" i="4" s="1"/>
  <c r="F25" i="4" s="1"/>
  <c r="L32" i="3"/>
  <c r="M32" i="3" s="1"/>
  <c r="Q35" i="3"/>
  <c r="R35" i="3" s="1"/>
  <c r="H34" i="3"/>
  <c r="I34" i="3" s="1"/>
  <c r="H32" i="3"/>
  <c r="I32" i="3" s="1"/>
  <c r="S48" i="3"/>
  <c r="C47" i="4" s="1"/>
  <c r="E47" i="4" s="1"/>
  <c r="F47" i="4" s="1"/>
  <c r="L72" i="3"/>
  <c r="M72" i="3" s="1"/>
  <c r="H39" i="3"/>
  <c r="I39" i="3" s="1"/>
  <c r="L14" i="3"/>
  <c r="M14" i="3" s="1"/>
  <c r="H83" i="3"/>
  <c r="I83" i="3" s="1"/>
  <c r="Q51" i="3"/>
  <c r="R51" i="3" s="1"/>
  <c r="S83" i="3"/>
  <c r="C82" i="4" s="1"/>
  <c r="E82" i="4" s="1"/>
  <c r="F82" i="4" s="1"/>
  <c r="Q78" i="3"/>
  <c r="R78" i="3" s="1"/>
  <c r="H19" i="3"/>
  <c r="I19" i="3" s="1"/>
  <c r="H35" i="3"/>
  <c r="T35" i="3" s="1"/>
  <c r="U35" i="3" s="1"/>
  <c r="W35" i="3" s="1"/>
  <c r="S35" i="3"/>
  <c r="C34" i="4" s="1"/>
  <c r="E34" i="4" s="1"/>
  <c r="F34" i="4" s="1"/>
  <c r="S85" i="3"/>
  <c r="C84" i="4" s="1"/>
  <c r="E84" i="4" s="1"/>
  <c r="F84" i="4" s="1"/>
  <c r="Q60" i="3"/>
  <c r="R60" i="3" s="1"/>
  <c r="Q85" i="3"/>
  <c r="R85" i="3" s="1"/>
  <c r="L61" i="3"/>
  <c r="M61" i="3" s="1"/>
  <c r="H38" i="3"/>
  <c r="I38" i="3" s="1"/>
  <c r="H36" i="3"/>
  <c r="I36" i="3" s="1"/>
  <c r="H6" i="3"/>
  <c r="I6" i="3" s="1"/>
  <c r="S25" i="3"/>
  <c r="C24" i="4" s="1"/>
  <c r="E24" i="4" s="1"/>
  <c r="F24" i="4" s="1"/>
  <c r="Q64" i="3"/>
  <c r="R64" i="3" s="1"/>
  <c r="Q87" i="3"/>
  <c r="R87" i="3" s="1"/>
  <c r="L65" i="3"/>
  <c r="M65" i="3" s="1"/>
  <c r="H44" i="3"/>
  <c r="S29" i="3"/>
  <c r="C28" i="4" s="1"/>
  <c r="E28" i="4" s="1"/>
  <c r="F28" i="4" s="1"/>
  <c r="Q26" i="3"/>
  <c r="R26" i="3" s="1"/>
  <c r="Q41" i="3"/>
  <c r="R41" i="3" s="1"/>
  <c r="L69" i="3"/>
  <c r="M69" i="3" s="1"/>
  <c r="H57" i="3"/>
  <c r="I57" i="3" s="1"/>
  <c r="S20" i="3"/>
  <c r="C19" i="4" s="1"/>
  <c r="E19" i="4" s="1"/>
  <c r="F19" i="4" s="1"/>
  <c r="Q33" i="3"/>
  <c r="R33" i="3" s="1"/>
  <c r="L9" i="3"/>
  <c r="M9" i="3" s="1"/>
  <c r="H18" i="3"/>
  <c r="I18" i="3" s="1"/>
  <c r="H43" i="3"/>
  <c r="I43" i="3" s="1"/>
  <c r="S13" i="3"/>
  <c r="C12" i="4" s="1"/>
  <c r="E12" i="4" s="1"/>
  <c r="F12" i="4" s="1"/>
  <c r="S15" i="3"/>
  <c r="C14" i="4" s="1"/>
  <c r="E14" i="4" s="1"/>
  <c r="F14" i="4" s="1"/>
  <c r="Q10" i="3"/>
  <c r="R10" i="3" s="1"/>
  <c r="Q52" i="3"/>
  <c r="R52" i="3" s="1"/>
  <c r="Q70" i="3"/>
  <c r="R70" i="3" s="1"/>
  <c r="L46" i="3"/>
  <c r="M46" i="3" s="1"/>
  <c r="L53" i="3"/>
  <c r="M53" i="3" s="1"/>
  <c r="L31" i="3"/>
  <c r="M31" i="3" s="1"/>
  <c r="H25" i="3"/>
  <c r="I25" i="3" s="1"/>
  <c r="S66" i="3"/>
  <c r="C65" i="4" s="1"/>
  <c r="E65" i="4" s="1"/>
  <c r="F65" i="4" s="1"/>
  <c r="S74" i="3"/>
  <c r="C73" i="4" s="1"/>
  <c r="E73" i="4" s="1"/>
  <c r="F73" i="4" s="1"/>
  <c r="Q36" i="3"/>
  <c r="R36" i="3" s="1"/>
  <c r="L30" i="3"/>
  <c r="M30" i="3" s="1"/>
  <c r="L67" i="3"/>
  <c r="M67" i="3" s="1"/>
  <c r="S59" i="3"/>
  <c r="C58" i="4" s="1"/>
  <c r="E58" i="4" s="1"/>
  <c r="F58" i="4" s="1"/>
  <c r="S82" i="3"/>
  <c r="C81" i="4" s="1"/>
  <c r="E81" i="4" s="1"/>
  <c r="F81" i="4" s="1"/>
  <c r="Q40" i="3"/>
  <c r="R40" i="3" s="1"/>
  <c r="L34" i="3"/>
  <c r="M34" i="3" s="1"/>
  <c r="L76" i="3"/>
  <c r="M76" i="3" s="1"/>
  <c r="S38" i="3"/>
  <c r="C37" i="4" s="1"/>
  <c r="E37" i="4" s="1"/>
  <c r="F37" i="4" s="1"/>
  <c r="S68" i="3"/>
  <c r="C67" i="4" s="1"/>
  <c r="E67" i="4" s="1"/>
  <c r="F67" i="4" s="1"/>
  <c r="S54" i="3"/>
  <c r="C53" i="4" s="1"/>
  <c r="E53" i="4" s="1"/>
  <c r="F53" i="4" s="1"/>
  <c r="Q24" i="3"/>
  <c r="R24" i="3" s="1"/>
  <c r="Q73" i="3"/>
  <c r="R73" i="3" s="1"/>
  <c r="L18" i="3"/>
  <c r="M18" i="3" s="1"/>
  <c r="L25" i="3"/>
  <c r="M25" i="3" s="1"/>
  <c r="L19" i="3"/>
  <c r="M19" i="3" s="1"/>
  <c r="H8" i="3"/>
  <c r="I8" i="3" s="1"/>
  <c r="H50" i="3"/>
  <c r="I50" i="3" s="1"/>
  <c r="H52" i="3"/>
  <c r="H61" i="3"/>
  <c r="I61" i="3" s="1"/>
  <c r="H68" i="3"/>
  <c r="I68" i="3" s="1"/>
  <c r="H88" i="3"/>
  <c r="S14" i="3"/>
  <c r="C13" i="4" s="1"/>
  <c r="E13" i="4" s="1"/>
  <c r="F13" i="4" s="1"/>
  <c r="S67" i="3"/>
  <c r="C66" i="4" s="1"/>
  <c r="E66" i="4" s="1"/>
  <c r="F66" i="4" s="1"/>
  <c r="S56" i="3"/>
  <c r="C55" i="4" s="1"/>
  <c r="E55" i="4" s="1"/>
  <c r="F55" i="4" s="1"/>
  <c r="S37" i="3"/>
  <c r="C36" i="4" s="1"/>
  <c r="E36" i="4" s="1"/>
  <c r="F36" i="4" s="1"/>
  <c r="S34" i="3"/>
  <c r="C33" i="4" s="1"/>
  <c r="E33" i="4" s="1"/>
  <c r="F33" i="4" s="1"/>
  <c r="S63" i="3"/>
  <c r="C62" i="4" s="1"/>
  <c r="E62" i="4" s="1"/>
  <c r="F62" i="4" s="1"/>
  <c r="Q34" i="3"/>
  <c r="R34" i="3" s="1"/>
  <c r="Q12" i="3"/>
  <c r="R12" i="3" s="1"/>
  <c r="Q76" i="3"/>
  <c r="R76" i="3" s="1"/>
  <c r="Q49" i="3"/>
  <c r="R49" i="3" s="1"/>
  <c r="Q61" i="3"/>
  <c r="R61" i="3" s="1"/>
  <c r="L6" i="3"/>
  <c r="M6" i="3" s="1"/>
  <c r="L70" i="3"/>
  <c r="M70" i="3" s="1"/>
  <c r="L13" i="3"/>
  <c r="M13" i="3" s="1"/>
  <c r="L77" i="3"/>
  <c r="M77" i="3" s="1"/>
  <c r="L71" i="3"/>
  <c r="M71" i="3" s="1"/>
  <c r="L27" i="3"/>
  <c r="M27" i="3" s="1"/>
  <c r="H54" i="3"/>
  <c r="I54" i="3" s="1"/>
  <c r="H56" i="3"/>
  <c r="H65" i="3"/>
  <c r="T65" i="3" s="1"/>
  <c r="U65" i="3" s="1"/>
  <c r="W65" i="3" s="1"/>
  <c r="H7" i="3"/>
  <c r="I7" i="3" s="1"/>
  <c r="H31" i="3"/>
  <c r="I31" i="3" s="1"/>
  <c r="S22" i="3"/>
  <c r="C21" i="4" s="1"/>
  <c r="E21" i="4" s="1"/>
  <c r="F21" i="4" s="1"/>
  <c r="S75" i="3"/>
  <c r="C74" i="4" s="1"/>
  <c r="E74" i="4" s="1"/>
  <c r="F74" i="4" s="1"/>
  <c r="S60" i="3"/>
  <c r="C59" i="4" s="1"/>
  <c r="E59" i="4" s="1"/>
  <c r="F59" i="4" s="1"/>
  <c r="S41" i="3"/>
  <c r="C40" i="4" s="1"/>
  <c r="E40" i="4" s="1"/>
  <c r="F40" i="4" s="1"/>
  <c r="S42" i="3"/>
  <c r="C41" i="4" s="1"/>
  <c r="E41" i="4" s="1"/>
  <c r="F41" i="4" s="1"/>
  <c r="S71" i="3"/>
  <c r="C70" i="4" s="1"/>
  <c r="E70" i="4" s="1"/>
  <c r="F70" i="4" s="1"/>
  <c r="Q38" i="3"/>
  <c r="R38" i="3" s="1"/>
  <c r="Q16" i="3"/>
  <c r="R16" i="3" s="1"/>
  <c r="Q80" i="3"/>
  <c r="R80" i="3" s="1"/>
  <c r="Q57" i="3"/>
  <c r="R57" i="3" s="1"/>
  <c r="Q74" i="3"/>
  <c r="R74" i="3" s="1"/>
  <c r="L10" i="3"/>
  <c r="M10" i="3" s="1"/>
  <c r="L74" i="3"/>
  <c r="M74" i="3" s="1"/>
  <c r="L17" i="3"/>
  <c r="M17" i="3" s="1"/>
  <c r="L81" i="3"/>
  <c r="M81" i="3" s="1"/>
  <c r="L75" i="3"/>
  <c r="M75" i="3" s="1"/>
  <c r="L43" i="3"/>
  <c r="M43" i="3" s="1"/>
  <c r="H58" i="3"/>
  <c r="I58" i="3" s="1"/>
  <c r="H72" i="3"/>
  <c r="I72" i="3" s="1"/>
  <c r="H69" i="3"/>
  <c r="H23" i="3"/>
  <c r="I23" i="3" s="1"/>
  <c r="H63" i="3"/>
  <c r="I63" i="3" s="1"/>
  <c r="E91" i="3"/>
  <c r="S5" i="3"/>
  <c r="C4" i="4" s="1"/>
  <c r="E4" i="4" s="1"/>
  <c r="F4" i="4" s="1"/>
  <c r="S31" i="3"/>
  <c r="C30" i="4" s="1"/>
  <c r="E30" i="4" s="1"/>
  <c r="F30" i="4" s="1"/>
  <c r="Q18" i="3"/>
  <c r="R18" i="3" s="1"/>
  <c r="Q21" i="3"/>
  <c r="R21" i="3" s="1"/>
  <c r="Q79" i="3"/>
  <c r="R79" i="3" s="1"/>
  <c r="L60" i="3"/>
  <c r="M60" i="3" s="1"/>
  <c r="L63" i="3"/>
  <c r="M63" i="3" s="1"/>
  <c r="H49" i="3"/>
  <c r="I49" i="3" s="1"/>
  <c r="S43" i="3"/>
  <c r="C42" i="4" s="1"/>
  <c r="E42" i="4" s="1"/>
  <c r="F42" i="4" s="1"/>
  <c r="S89" i="3"/>
  <c r="C88" i="4" s="1"/>
  <c r="E88" i="4" s="1"/>
  <c r="F88" i="4" s="1"/>
  <c r="Q22" i="3"/>
  <c r="R22" i="3" s="1"/>
  <c r="Q43" i="3"/>
  <c r="R43" i="3" s="1"/>
  <c r="L58" i="3"/>
  <c r="M58" i="3" s="1"/>
  <c r="L23" i="3"/>
  <c r="M23" i="3" s="1"/>
  <c r="H42" i="3"/>
  <c r="I42" i="3" s="1"/>
  <c r="S6" i="3"/>
  <c r="C5" i="4" s="1"/>
  <c r="E5" i="4" s="1"/>
  <c r="F5" i="4" s="1"/>
  <c r="S18" i="3"/>
  <c r="C17" i="4" s="1"/>
  <c r="E17" i="4" s="1"/>
  <c r="F17" i="4" s="1"/>
  <c r="Q29" i="3"/>
  <c r="R29" i="3" s="1"/>
  <c r="P91" i="3"/>
  <c r="Q5" i="3"/>
  <c r="R5" i="3" s="1"/>
  <c r="L39" i="3"/>
  <c r="M39" i="3" s="1"/>
  <c r="H64" i="3"/>
  <c r="S84" i="3"/>
  <c r="C83" i="4" s="1"/>
  <c r="E83" i="4" s="1"/>
  <c r="F83" i="4" s="1"/>
  <c r="Q30" i="3"/>
  <c r="R30" i="3" s="1"/>
  <c r="Q53" i="3"/>
  <c r="R53" i="3" s="1"/>
  <c r="L73" i="3"/>
  <c r="M73" i="3" s="1"/>
  <c r="H9" i="3"/>
  <c r="I9" i="3" s="1"/>
  <c r="S30" i="3"/>
  <c r="C29" i="4" s="1"/>
  <c r="E29" i="4" s="1"/>
  <c r="F29" i="4" s="1"/>
  <c r="S45" i="3"/>
  <c r="C44" i="4" s="1"/>
  <c r="E44" i="4" s="1"/>
  <c r="F44" i="4" s="1"/>
  <c r="S79" i="3"/>
  <c r="C78" i="4" s="1"/>
  <c r="E78" i="4" s="1"/>
  <c r="F78" i="4" s="1"/>
  <c r="Q42" i="3"/>
  <c r="R42" i="3" s="1"/>
  <c r="Q84" i="3"/>
  <c r="R84" i="3" s="1"/>
  <c r="Q81" i="3"/>
  <c r="R81" i="3" s="1"/>
  <c r="L78" i="3"/>
  <c r="M78" i="3" s="1"/>
  <c r="L85" i="3"/>
  <c r="M85" i="3" s="1"/>
  <c r="L59" i="3"/>
  <c r="M59" i="3" s="1"/>
  <c r="H89" i="3"/>
  <c r="I89" i="3" s="1"/>
  <c r="S16" i="3"/>
  <c r="C15" i="4" s="1"/>
  <c r="E15" i="4" s="1"/>
  <c r="F15" i="4" s="1"/>
  <c r="Q15" i="3"/>
  <c r="R15" i="3" s="1"/>
  <c r="L8" i="3"/>
  <c r="M8" i="3" s="1"/>
  <c r="H14" i="3"/>
  <c r="S52" i="3"/>
  <c r="C51" i="4" s="1"/>
  <c r="E51" i="4" s="1"/>
  <c r="F51" i="4" s="1"/>
  <c r="Q19" i="3"/>
  <c r="R19" i="3" s="1"/>
  <c r="L20" i="3"/>
  <c r="M20" i="3" s="1"/>
  <c r="H62" i="3"/>
  <c r="I62" i="3" s="1"/>
  <c r="S27" i="3"/>
  <c r="C26" i="4" s="1"/>
  <c r="E26" i="4" s="1"/>
  <c r="F26" i="4" s="1"/>
  <c r="S17" i="3"/>
  <c r="C16" i="4" s="1"/>
  <c r="E16" i="4" s="1"/>
  <c r="F16" i="4" s="1"/>
  <c r="S23" i="3"/>
  <c r="C22" i="4" s="1"/>
  <c r="E22" i="4" s="1"/>
  <c r="F22" i="4" s="1"/>
  <c r="Q14" i="3"/>
  <c r="R14" i="3" s="1"/>
  <c r="Q56" i="3"/>
  <c r="R56" i="3" s="1"/>
  <c r="Q77" i="3"/>
  <c r="R77" i="3" s="1"/>
  <c r="L50" i="3"/>
  <c r="M50" i="3" s="1"/>
  <c r="L57" i="3"/>
  <c r="M57" i="3" s="1"/>
  <c r="L47" i="3"/>
  <c r="M47" i="3" s="1"/>
  <c r="H41" i="3"/>
  <c r="T41" i="3" s="1"/>
  <c r="U41" i="3" s="1"/>
  <c r="W41" i="3" s="1"/>
  <c r="H66" i="3"/>
  <c r="I66" i="3" s="1"/>
  <c r="H13" i="3"/>
  <c r="I13" i="3" s="1"/>
  <c r="H77" i="3"/>
  <c r="H55" i="3"/>
  <c r="I55" i="3" s="1"/>
  <c r="H75" i="3"/>
  <c r="S50" i="3"/>
  <c r="C49" i="4" s="1"/>
  <c r="E49" i="4" s="1"/>
  <c r="F49" i="4" s="1"/>
  <c r="S8" i="3"/>
  <c r="C7" i="4" s="1"/>
  <c r="E7" i="4" s="1"/>
  <c r="F7" i="4" s="1"/>
  <c r="S72" i="3"/>
  <c r="C71" i="4" s="1"/>
  <c r="E71" i="4" s="1"/>
  <c r="F71" i="4" s="1"/>
  <c r="S53" i="3"/>
  <c r="C52" i="4" s="1"/>
  <c r="E52" i="4" s="1"/>
  <c r="F52" i="4" s="1"/>
  <c r="S62" i="3"/>
  <c r="C61" i="4" s="1"/>
  <c r="E61" i="4" s="1"/>
  <c r="F61" i="4" s="1"/>
  <c r="Q50" i="3"/>
  <c r="R50" i="3" s="1"/>
  <c r="Q28" i="3"/>
  <c r="R28" i="3" s="1"/>
  <c r="Q7" i="3"/>
  <c r="R7" i="3" s="1"/>
  <c r="Q75" i="3"/>
  <c r="R75" i="3" s="1"/>
  <c r="Q90" i="3"/>
  <c r="R90" i="3" s="1"/>
  <c r="L22" i="3"/>
  <c r="M22" i="3" s="1"/>
  <c r="L86" i="3"/>
  <c r="M86" i="3" s="1"/>
  <c r="L29" i="3"/>
  <c r="M29" i="3" s="1"/>
  <c r="L12" i="3"/>
  <c r="M12" i="3" s="1"/>
  <c r="L35" i="3"/>
  <c r="M35" i="3" s="1"/>
  <c r="L88" i="3"/>
  <c r="M88" i="3" s="1"/>
  <c r="H70" i="3"/>
  <c r="I70" i="3" s="1"/>
  <c r="H17" i="3"/>
  <c r="I17" i="3" s="1"/>
  <c r="H81" i="3"/>
  <c r="I81" i="3" s="1"/>
  <c r="H71" i="3"/>
  <c r="H15" i="3"/>
  <c r="S58" i="3"/>
  <c r="C57" i="4" s="1"/>
  <c r="E57" i="4" s="1"/>
  <c r="F57" i="4" s="1"/>
  <c r="S12" i="3"/>
  <c r="C11" i="4" s="1"/>
  <c r="E11" i="4" s="1"/>
  <c r="F11" i="4" s="1"/>
  <c r="S76" i="3"/>
  <c r="C75" i="4" s="1"/>
  <c r="E75" i="4" s="1"/>
  <c r="F75" i="4" s="1"/>
  <c r="S57" i="3"/>
  <c r="C56" i="4" s="1"/>
  <c r="E56" i="4" s="1"/>
  <c r="F56" i="4" s="1"/>
  <c r="S70" i="3"/>
  <c r="C69" i="4" s="1"/>
  <c r="E69" i="4" s="1"/>
  <c r="F69" i="4" s="1"/>
  <c r="Q54" i="3"/>
  <c r="R54" i="3" s="1"/>
  <c r="Q32" i="3"/>
  <c r="R32" i="3" s="1"/>
  <c r="Q11" i="3"/>
  <c r="R11" i="3" s="1"/>
  <c r="Q82" i="3"/>
  <c r="R82" i="3" s="1"/>
  <c r="Q37" i="3"/>
  <c r="R37" i="3" s="1"/>
  <c r="L26" i="3"/>
  <c r="M26" i="3" s="1"/>
  <c r="L90" i="3"/>
  <c r="M90" i="3" s="1"/>
  <c r="L33" i="3"/>
  <c r="M33" i="3" s="1"/>
  <c r="L16" i="3"/>
  <c r="M16" i="3" s="1"/>
  <c r="L51" i="3"/>
  <c r="M51" i="3" s="1"/>
  <c r="H10" i="3"/>
  <c r="T10" i="3" s="1"/>
  <c r="U10" i="3" s="1"/>
  <c r="W10" i="3" s="1"/>
  <c r="H74" i="3"/>
  <c r="I74" i="3" s="1"/>
  <c r="H21" i="3"/>
  <c r="I21" i="3" s="1"/>
  <c r="H85" i="3"/>
  <c r="I85" i="3" s="1"/>
  <c r="H76" i="3"/>
  <c r="I76" i="3" s="1"/>
  <c r="H47" i="3"/>
  <c r="I47" i="3" s="1"/>
  <c r="S21" i="3"/>
  <c r="C20" i="4" s="1"/>
  <c r="E20" i="4" s="1"/>
  <c r="F20" i="4" s="1"/>
  <c r="Q39" i="3"/>
  <c r="R39" i="3" s="1"/>
  <c r="L54" i="3"/>
  <c r="M54" i="3" s="1"/>
  <c r="L7" i="3"/>
  <c r="M7" i="3" s="1"/>
  <c r="H40" i="3"/>
  <c r="T40" i="3" s="1"/>
  <c r="U40" i="3" s="1"/>
  <c r="W40" i="3" s="1"/>
  <c r="H51" i="3"/>
  <c r="I51" i="3" s="1"/>
  <c r="S44" i="3"/>
  <c r="C43" i="4" s="1"/>
  <c r="E43" i="4" s="1"/>
  <c r="F43" i="4" s="1"/>
  <c r="S39" i="3"/>
  <c r="C38" i="4" s="1"/>
  <c r="E38" i="4" s="1"/>
  <c r="F38" i="4" s="1"/>
  <c r="Q25" i="3"/>
  <c r="R25" i="3" s="1"/>
  <c r="Q86" i="3"/>
  <c r="R86" i="3" s="1"/>
  <c r="L64" i="3"/>
  <c r="M64" i="3" s="1"/>
  <c r="L79" i="3"/>
  <c r="M79" i="3" s="1"/>
  <c r="H53" i="3"/>
  <c r="I53" i="3" s="1"/>
  <c r="H60" i="3"/>
  <c r="H67" i="3"/>
  <c r="I67" i="3" s="1"/>
  <c r="S51" i="3"/>
  <c r="C50" i="4" s="1"/>
  <c r="E50" i="4" s="1"/>
  <c r="F50" i="4" s="1"/>
  <c r="S47" i="3"/>
  <c r="C46" i="4" s="1"/>
  <c r="E46" i="4" s="1"/>
  <c r="F46" i="4" s="1"/>
  <c r="Q68" i="3"/>
  <c r="R68" i="3" s="1"/>
  <c r="L62" i="3"/>
  <c r="M62" i="3" s="1"/>
  <c r="L87" i="3"/>
  <c r="M87" i="3" s="1"/>
  <c r="H80" i="3"/>
  <c r="I80" i="3" s="1"/>
  <c r="S65" i="3"/>
  <c r="C64" i="4" s="1"/>
  <c r="E64" i="4" s="1"/>
  <c r="F64" i="4" s="1"/>
  <c r="Q8" i="3"/>
  <c r="R8" i="3" s="1"/>
  <c r="K91" i="3"/>
  <c r="L5" i="3"/>
  <c r="M5" i="3" s="1"/>
  <c r="L55" i="3"/>
  <c r="M55" i="3" s="1"/>
  <c r="H73" i="3"/>
  <c r="S32" i="3"/>
  <c r="C31" i="4" s="1"/>
  <c r="E31" i="4" s="1"/>
  <c r="F31" i="4" s="1"/>
  <c r="S77" i="3"/>
  <c r="C76" i="4" s="1"/>
  <c r="E76" i="4" s="1"/>
  <c r="F76" i="4" s="1"/>
  <c r="Q13" i="3"/>
  <c r="R13" i="3" s="1"/>
  <c r="Q31" i="3"/>
  <c r="R31" i="3" s="1"/>
  <c r="Q71" i="3"/>
  <c r="R71" i="3" s="1"/>
  <c r="L40" i="3"/>
  <c r="M40" i="3" s="1"/>
  <c r="L52" i="3"/>
  <c r="M52" i="3" s="1"/>
  <c r="H30" i="3"/>
  <c r="I30" i="3" s="1"/>
  <c r="H79" i="3"/>
  <c r="S80" i="3"/>
  <c r="C79" i="4" s="1"/>
  <c r="E79" i="4" s="1"/>
  <c r="F79" i="4" s="1"/>
  <c r="Q89" i="3"/>
  <c r="R89" i="3" s="1"/>
  <c r="L37" i="3"/>
  <c r="M37" i="3" s="1"/>
  <c r="H48" i="3"/>
  <c r="I48" i="3" s="1"/>
  <c r="S33" i="3"/>
  <c r="C32" i="4" s="1"/>
  <c r="E32" i="4" s="1"/>
  <c r="F32" i="4" s="1"/>
  <c r="Q45" i="3"/>
  <c r="R45" i="3" s="1"/>
  <c r="L41" i="3"/>
  <c r="M41" i="3" s="1"/>
  <c r="S19" i="3"/>
  <c r="C18" i="4" s="1"/>
  <c r="E18" i="4" s="1"/>
  <c r="F18" i="4" s="1"/>
  <c r="S87" i="3"/>
  <c r="C86" i="4" s="1"/>
  <c r="E86" i="4" s="1"/>
  <c r="F86" i="4" s="1"/>
  <c r="S49" i="3"/>
  <c r="C48" i="4" s="1"/>
  <c r="E48" i="4" s="1"/>
  <c r="F48" i="4" s="1"/>
  <c r="Q46" i="3"/>
  <c r="R46" i="3" s="1"/>
  <c r="Q88" i="3"/>
  <c r="R88" i="3" s="1"/>
  <c r="Q83" i="3"/>
  <c r="R83" i="3" s="1"/>
  <c r="L82" i="3"/>
  <c r="M82" i="3" s="1"/>
  <c r="L89" i="3"/>
  <c r="M89" i="3" s="1"/>
  <c r="L80" i="3"/>
  <c r="M80" i="3" s="1"/>
  <c r="H24" i="3"/>
  <c r="I24" i="3" s="1"/>
  <c r="H82" i="3"/>
  <c r="H29" i="3"/>
  <c r="I29" i="3" s="1"/>
  <c r="H12" i="3"/>
  <c r="H87" i="3"/>
  <c r="I87" i="3" s="1"/>
  <c r="H27" i="3"/>
  <c r="I27" i="3" s="1"/>
  <c r="S86" i="3"/>
  <c r="C85" i="4" s="1"/>
  <c r="E85" i="4" s="1"/>
  <c r="F85" i="4" s="1"/>
  <c r="S24" i="3"/>
  <c r="C23" i="4" s="1"/>
  <c r="E23" i="4" s="1"/>
  <c r="F23" i="4" s="1"/>
  <c r="S88" i="3"/>
  <c r="C87" i="4" s="1"/>
  <c r="E87" i="4" s="1"/>
  <c r="F87" i="4" s="1"/>
  <c r="S69" i="3"/>
  <c r="C68" i="4" s="1"/>
  <c r="E68" i="4" s="1"/>
  <c r="F68" i="4" s="1"/>
  <c r="S90" i="3"/>
  <c r="C89" i="4" s="1"/>
  <c r="E89" i="4" s="1"/>
  <c r="F89" i="4" s="1"/>
  <c r="N91" i="3"/>
  <c r="Q66" i="3"/>
  <c r="R66" i="3" s="1"/>
  <c r="Q44" i="3"/>
  <c r="R44" i="3" s="1"/>
  <c r="Q23" i="3"/>
  <c r="R23" i="3" s="1"/>
  <c r="Q55" i="3"/>
  <c r="R55" i="3" s="1"/>
  <c r="Q67" i="3"/>
  <c r="R67" i="3" s="1"/>
  <c r="L38" i="3"/>
  <c r="M38" i="3" s="1"/>
  <c r="L28" i="3"/>
  <c r="M28" i="3" s="1"/>
  <c r="L45" i="3"/>
  <c r="M45" i="3" s="1"/>
  <c r="L44" i="3"/>
  <c r="M44" i="3" s="1"/>
  <c r="L84" i="3"/>
  <c r="M84" i="3" s="1"/>
  <c r="H22" i="3"/>
  <c r="I22" i="3" s="1"/>
  <c r="H86" i="3"/>
  <c r="I86" i="3" s="1"/>
  <c r="H33" i="3"/>
  <c r="I33" i="3" s="1"/>
  <c r="H16" i="3"/>
  <c r="I16" i="3" s="1"/>
  <c r="H11" i="3"/>
  <c r="T11" i="3" s="1"/>
  <c r="U11" i="3" s="1"/>
  <c r="W11" i="3" s="1"/>
  <c r="H59" i="3"/>
  <c r="S11" i="3"/>
  <c r="C10" i="4" s="1"/>
  <c r="E10" i="4" s="1"/>
  <c r="F10" i="4" s="1"/>
  <c r="S28" i="3"/>
  <c r="C27" i="4" s="1"/>
  <c r="E27" i="4" s="1"/>
  <c r="F27" i="4" s="1"/>
  <c r="S9" i="3"/>
  <c r="C8" i="4" s="1"/>
  <c r="E8" i="4" s="1"/>
  <c r="F8" i="4" s="1"/>
  <c r="S73" i="3"/>
  <c r="C72" i="4" s="1"/>
  <c r="E72" i="4" s="1"/>
  <c r="F72" i="4" s="1"/>
  <c r="S7" i="3"/>
  <c r="C6" i="4" s="1"/>
  <c r="E6" i="4" s="1"/>
  <c r="F6" i="4" s="1"/>
  <c r="Q6" i="3"/>
  <c r="R6" i="3" s="1"/>
  <c r="Q9" i="3"/>
  <c r="R9" i="3" s="1"/>
  <c r="Q48" i="3"/>
  <c r="R48" i="3" s="1"/>
  <c r="Q27" i="3"/>
  <c r="R27" i="3" s="1"/>
  <c r="Q63" i="3"/>
  <c r="R63" i="3" s="1"/>
  <c r="Q69" i="3"/>
  <c r="R69" i="3" s="1"/>
  <c r="L42" i="3"/>
  <c r="M42" i="3" s="1"/>
  <c r="L36" i="3"/>
  <c r="M36" i="3" s="1"/>
  <c r="L49" i="3"/>
  <c r="M49" i="3" s="1"/>
  <c r="L48" i="3"/>
  <c r="M48" i="3" s="1"/>
  <c r="L15" i="3"/>
  <c r="M15" i="3" s="1"/>
  <c r="H26" i="3"/>
  <c r="H90" i="3"/>
  <c r="H37" i="3"/>
  <c r="I37" i="3" s="1"/>
  <c r="H20" i="3"/>
  <c r="I20" i="3" s="1"/>
  <c r="H84" i="3"/>
  <c r="I84" i="3" s="1"/>
  <c r="G91" i="3"/>
  <c r="H5" i="3"/>
  <c r="I5" i="3" s="1"/>
  <c r="I88" i="3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I10" i="3" l="1"/>
  <c r="T18" i="3"/>
  <c r="U18" i="3" s="1"/>
  <c r="W18" i="3" s="1"/>
  <c r="T19" i="3"/>
  <c r="U19" i="3" s="1"/>
  <c r="W19" i="3" s="1"/>
  <c r="T60" i="3"/>
  <c r="U60" i="3" s="1"/>
  <c r="W60" i="3" s="1"/>
  <c r="T26" i="3"/>
  <c r="U26" i="3" s="1"/>
  <c r="W26" i="3" s="1"/>
  <c r="T36" i="3"/>
  <c r="U36" i="3" s="1"/>
  <c r="W36" i="3" s="1"/>
  <c r="I35" i="3"/>
  <c r="I65" i="3"/>
  <c r="T59" i="3"/>
  <c r="U59" i="3" s="1"/>
  <c r="W59" i="3" s="1"/>
  <c r="T42" i="3"/>
  <c r="U42" i="3" s="1"/>
  <c r="W42" i="3" s="1"/>
  <c r="T25" i="3"/>
  <c r="U25" i="3" s="1"/>
  <c r="W25" i="3" s="1"/>
  <c r="I41" i="3"/>
  <c r="I40" i="3"/>
  <c r="T54" i="3"/>
  <c r="U54" i="3" s="1"/>
  <c r="W54" i="3" s="1"/>
  <c r="T57" i="3"/>
  <c r="U57" i="3" s="1"/>
  <c r="W57" i="3" s="1"/>
  <c r="T12" i="3"/>
  <c r="U12" i="3" s="1"/>
  <c r="W12" i="3" s="1"/>
  <c r="T8" i="3"/>
  <c r="U8" i="3" s="1"/>
  <c r="W8" i="3" s="1"/>
  <c r="T22" i="3"/>
  <c r="U22" i="3" s="1"/>
  <c r="W22" i="3" s="1"/>
  <c r="T87" i="3"/>
  <c r="U87" i="3" s="1"/>
  <c r="W87" i="3" s="1"/>
  <c r="T23" i="3"/>
  <c r="U23" i="3" s="1"/>
  <c r="W23" i="3" s="1"/>
  <c r="T56" i="3"/>
  <c r="U56" i="3" s="1"/>
  <c r="W56" i="3" s="1"/>
  <c r="T80" i="3"/>
  <c r="U80" i="3" s="1"/>
  <c r="W80" i="3" s="1"/>
  <c r="I56" i="3"/>
  <c r="T90" i="3"/>
  <c r="U90" i="3" s="1"/>
  <c r="W90" i="3" s="1"/>
  <c r="T73" i="3"/>
  <c r="U73" i="3" s="1"/>
  <c r="W73" i="3" s="1"/>
  <c r="T15" i="3"/>
  <c r="U15" i="3" s="1"/>
  <c r="W15" i="3" s="1"/>
  <c r="I11" i="3"/>
  <c r="T14" i="3"/>
  <c r="U14" i="3" s="1"/>
  <c r="W14" i="3" s="1"/>
  <c r="T69" i="3"/>
  <c r="U69" i="3" s="1"/>
  <c r="W69" i="3" s="1"/>
  <c r="T31" i="3"/>
  <c r="U31" i="3" s="1"/>
  <c r="W31" i="3" s="1"/>
  <c r="T37" i="3"/>
  <c r="U37" i="3" s="1"/>
  <c r="W37" i="3" s="1"/>
  <c r="T9" i="3"/>
  <c r="U9" i="3" s="1"/>
  <c r="W9" i="3" s="1"/>
  <c r="I14" i="3"/>
  <c r="I15" i="3"/>
  <c r="T70" i="3"/>
  <c r="U70" i="3" s="1"/>
  <c r="W70" i="3" s="1"/>
  <c r="T81" i="3"/>
  <c r="U81" i="3" s="1"/>
  <c r="W81" i="3" s="1"/>
  <c r="T53" i="3"/>
  <c r="U53" i="3" s="1"/>
  <c r="W53" i="3" s="1"/>
  <c r="T24" i="3"/>
  <c r="U24" i="3" s="1"/>
  <c r="W24" i="3" s="1"/>
  <c r="I73" i="3"/>
  <c r="T29" i="3"/>
  <c r="U29" i="3" s="1"/>
  <c r="W29" i="3" s="1"/>
  <c r="I69" i="3"/>
  <c r="T78" i="3"/>
  <c r="U78" i="3" s="1"/>
  <c r="W78" i="3" s="1"/>
  <c r="T79" i="3"/>
  <c r="U79" i="3" s="1"/>
  <c r="W79" i="3" s="1"/>
  <c r="T17" i="3"/>
  <c r="U17" i="3" s="1"/>
  <c r="W17" i="3" s="1"/>
  <c r="T64" i="3"/>
  <c r="U64" i="3" s="1"/>
  <c r="W64" i="3" s="1"/>
  <c r="I12" i="3"/>
  <c r="I59" i="3"/>
  <c r="T58" i="3"/>
  <c r="U58" i="3" s="1"/>
  <c r="W58" i="3" s="1"/>
  <c r="T88" i="3"/>
  <c r="U88" i="3" s="1"/>
  <c r="W88" i="3" s="1"/>
  <c r="T61" i="3"/>
  <c r="U61" i="3" s="1"/>
  <c r="W61" i="3" s="1"/>
  <c r="T62" i="3"/>
  <c r="U62" i="3" s="1"/>
  <c r="W62" i="3" s="1"/>
  <c r="T82" i="3"/>
  <c r="U82" i="3" s="1"/>
  <c r="W82" i="3" s="1"/>
  <c r="T7" i="3"/>
  <c r="U7" i="3" s="1"/>
  <c r="W7" i="3" s="1"/>
  <c r="T39" i="3"/>
  <c r="U39" i="3" s="1"/>
  <c r="W39" i="3" s="1"/>
  <c r="T86" i="3"/>
  <c r="U86" i="3" s="1"/>
  <c r="W86" i="3" s="1"/>
  <c r="I26" i="3"/>
  <c r="T33" i="3"/>
  <c r="U33" i="3" s="1"/>
  <c r="W33" i="3" s="1"/>
  <c r="T67" i="3"/>
  <c r="U67" i="3" s="1"/>
  <c r="W67" i="3" s="1"/>
  <c r="T63" i="3"/>
  <c r="U63" i="3" s="1"/>
  <c r="W63" i="3" s="1"/>
  <c r="T52" i="3"/>
  <c r="U52" i="3" s="1"/>
  <c r="W52" i="3" s="1"/>
  <c r="T55" i="3"/>
  <c r="U55" i="3" s="1"/>
  <c r="W55" i="3" s="1"/>
  <c r="I52" i="3"/>
  <c r="T72" i="3"/>
  <c r="U72" i="3" s="1"/>
  <c r="W72" i="3" s="1"/>
  <c r="T34" i="3"/>
  <c r="U34" i="3" s="1"/>
  <c r="W34" i="3" s="1"/>
  <c r="T16" i="3"/>
  <c r="U16" i="3" s="1"/>
  <c r="W16" i="3" s="1"/>
  <c r="T84" i="3"/>
  <c r="U84" i="3" s="1"/>
  <c r="W84" i="3" s="1"/>
  <c r="T20" i="3"/>
  <c r="U20" i="3" s="1"/>
  <c r="W20" i="3" s="1"/>
  <c r="I82" i="3"/>
  <c r="T30" i="3"/>
  <c r="U30" i="3" s="1"/>
  <c r="W30" i="3" s="1"/>
  <c r="T43" i="3"/>
  <c r="U43" i="3" s="1"/>
  <c r="W43" i="3" s="1"/>
  <c r="T5" i="3"/>
  <c r="U5" i="3" s="1"/>
  <c r="W5" i="3" s="1"/>
  <c r="T83" i="3"/>
  <c r="U83" i="3" s="1"/>
  <c r="W83" i="3" s="1"/>
  <c r="T66" i="3"/>
  <c r="U66" i="3" s="1"/>
  <c r="W66" i="3" s="1"/>
  <c r="T49" i="3"/>
  <c r="U49" i="3" s="1"/>
  <c r="W49" i="3" s="1"/>
  <c r="T27" i="3"/>
  <c r="U27" i="3" s="1"/>
  <c r="W27" i="3" s="1"/>
  <c r="T71" i="3"/>
  <c r="U71" i="3" s="1"/>
  <c r="W71" i="3" s="1"/>
  <c r="T75" i="3"/>
  <c r="U75" i="3" s="1"/>
  <c r="W75" i="3" s="1"/>
  <c r="T44" i="3"/>
  <c r="U44" i="3" s="1"/>
  <c r="W44" i="3" s="1"/>
  <c r="T46" i="3"/>
  <c r="U46" i="3" s="1"/>
  <c r="W46" i="3" s="1"/>
  <c r="T28" i="3"/>
  <c r="U28" i="3" s="1"/>
  <c r="W28" i="3" s="1"/>
  <c r="T48" i="3"/>
  <c r="U48" i="3" s="1"/>
  <c r="W48" i="3" s="1"/>
  <c r="T77" i="3"/>
  <c r="U77" i="3" s="1"/>
  <c r="W77" i="3" s="1"/>
  <c r="I75" i="3"/>
  <c r="I77" i="3"/>
  <c r="I79" i="3"/>
  <c r="I60" i="3"/>
  <c r="I44" i="3"/>
  <c r="I71" i="3"/>
  <c r="T38" i="3"/>
  <c r="U38" i="3" s="1"/>
  <c r="W38" i="3" s="1"/>
  <c r="T51" i="3"/>
  <c r="U51" i="3" s="1"/>
  <c r="W51" i="3" s="1"/>
  <c r="T74" i="3"/>
  <c r="U74" i="3" s="1"/>
  <c r="W74" i="3" s="1"/>
  <c r="T21" i="3"/>
  <c r="U21" i="3" s="1"/>
  <c r="W21" i="3" s="1"/>
  <c r="T85" i="3"/>
  <c r="U85" i="3" s="1"/>
  <c r="W85" i="3" s="1"/>
  <c r="T76" i="3"/>
  <c r="U76" i="3" s="1"/>
  <c r="W76" i="3" s="1"/>
  <c r="T47" i="3"/>
  <c r="U47" i="3" s="1"/>
  <c r="W47" i="3" s="1"/>
  <c r="T89" i="3"/>
  <c r="U89" i="3" s="1"/>
  <c r="W89" i="3" s="1"/>
  <c r="T50" i="3"/>
  <c r="U50" i="3" s="1"/>
  <c r="W50" i="3" s="1"/>
  <c r="T13" i="3"/>
  <c r="U13" i="3" s="1"/>
  <c r="W13" i="3" s="1"/>
  <c r="I90" i="3"/>
  <c r="R91" i="3"/>
  <c r="I28" i="3"/>
  <c r="I64" i="3"/>
  <c r="T6" i="3"/>
  <c r="U6" i="3" s="1"/>
  <c r="W6" i="3" s="1"/>
  <c r="T32" i="3"/>
  <c r="U32" i="3" s="1"/>
  <c r="W32" i="3" s="1"/>
  <c r="T45" i="3"/>
  <c r="U45" i="3" s="1"/>
  <c r="W45" i="3" s="1"/>
  <c r="T68" i="3"/>
  <c r="U68" i="3" s="1"/>
  <c r="W68" i="3" s="1"/>
  <c r="H91" i="3"/>
  <c r="M91" i="3"/>
  <c r="S91" i="3"/>
  <c r="L91" i="3"/>
  <c r="Q91" i="3"/>
  <c r="V82" i="3"/>
  <c r="V41" i="3"/>
  <c r="V40" i="3"/>
  <c r="V35" i="3"/>
  <c r="V11" i="3"/>
  <c r="V65" i="3"/>
  <c r="V10" i="3"/>
  <c r="V19" i="3"/>
  <c r="V18" i="3" l="1"/>
  <c r="V36" i="3"/>
  <c r="V60" i="3"/>
  <c r="V26" i="3"/>
  <c r="V59" i="3"/>
  <c r="V42" i="3"/>
  <c r="V25" i="3"/>
  <c r="V57" i="3"/>
  <c r="V12" i="3"/>
  <c r="V54" i="3"/>
  <c r="V53" i="3"/>
  <c r="V15" i="3"/>
  <c r="V8" i="3"/>
  <c r="V22" i="3"/>
  <c r="V87" i="3"/>
  <c r="V14" i="3"/>
  <c r="V37" i="3"/>
  <c r="V79" i="3"/>
  <c r="V29" i="3"/>
  <c r="V52" i="3"/>
  <c r="V17" i="3"/>
  <c r="V23" i="3"/>
  <c r="V9" i="3"/>
  <c r="V81" i="3"/>
  <c r="V90" i="3"/>
  <c r="V56" i="3"/>
  <c r="V80" i="3"/>
  <c r="V7" i="3"/>
  <c r="V73" i="3"/>
  <c r="V69" i="3"/>
  <c r="V24" i="3"/>
  <c r="V31" i="3"/>
  <c r="V78" i="3"/>
  <c r="V70" i="3"/>
  <c r="V64" i="3"/>
  <c r="V61" i="3"/>
  <c r="V58" i="3"/>
  <c r="V83" i="3"/>
  <c r="V5" i="3"/>
  <c r="V30" i="3"/>
  <c r="V86" i="3"/>
  <c r="V62" i="3"/>
  <c r="V72" i="3"/>
  <c r="V63" i="3"/>
  <c r="V88" i="3"/>
  <c r="V55" i="3"/>
  <c r="V67" i="3"/>
  <c r="V39" i="3"/>
  <c r="V77" i="3"/>
  <c r="V47" i="3"/>
  <c r="V33" i="3"/>
  <c r="V34" i="3"/>
  <c r="V20" i="3"/>
  <c r="V43" i="3"/>
  <c r="V84" i="3"/>
  <c r="V49" i="3"/>
  <c r="V16" i="3"/>
  <c r="V66" i="3"/>
  <c r="V44" i="3"/>
  <c r="V75" i="3"/>
  <c r="V38" i="3"/>
  <c r="V89" i="3"/>
  <c r="V21" i="3"/>
  <c r="V71" i="3"/>
  <c r="V28" i="3"/>
  <c r="U91" i="3"/>
  <c r="I91" i="3"/>
  <c r="V48" i="3"/>
  <c r="V32" i="3"/>
  <c r="V27" i="3"/>
  <c r="V50" i="3"/>
  <c r="V6" i="3"/>
  <c r="V46" i="3"/>
  <c r="V74" i="3"/>
  <c r="V76" i="3"/>
  <c r="V68" i="3"/>
  <c r="W91" i="3"/>
  <c r="V85" i="3"/>
  <c r="V13" i="3"/>
  <c r="V51" i="3"/>
  <c r="V45" i="3"/>
  <c r="T91" i="3"/>
  <c r="V9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A2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B1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T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要手入力</t>
        </r>
      </text>
    </comment>
  </commentList>
</comments>
</file>

<file path=xl/sharedStrings.xml><?xml version="1.0" encoding="utf-8"?>
<sst xmlns="http://schemas.openxmlformats.org/spreadsheetml/2006/main" count="442" uniqueCount="329">
  <si>
    <t>氏名</t>
    <rPh sb="0" eb="2">
      <t>シメイ</t>
    </rPh>
    <phoneticPr fontId="1"/>
  </si>
  <si>
    <t>勤務日</t>
    <rPh sb="0" eb="2">
      <t>キンム</t>
    </rPh>
    <rPh sb="2" eb="3">
      <t>ビ</t>
    </rPh>
    <phoneticPr fontId="1"/>
  </si>
  <si>
    <t>準夜帯</t>
    <rPh sb="0" eb="1">
      <t>ジュン</t>
    </rPh>
    <rPh sb="1" eb="2">
      <t>ヨル</t>
    </rPh>
    <rPh sb="2" eb="3">
      <t>オビ</t>
    </rPh>
    <phoneticPr fontId="1"/>
  </si>
  <si>
    <t>日勤帯</t>
    <rPh sb="0" eb="3">
      <t>ニッキンタイ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</si>
  <si>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</si>
  <si>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</si>
  <si>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休憩</t>
    <rPh sb="0" eb="2">
      <t>キュウケイ</t>
    </rPh>
    <phoneticPr fontId="1"/>
  </si>
  <si>
    <t>有給休暇</t>
    <rPh sb="0" eb="2">
      <t>ユウキュウ</t>
    </rPh>
    <rPh sb="2" eb="4">
      <t>キュウカ</t>
    </rPh>
    <phoneticPr fontId="1"/>
  </si>
  <si>
    <t>例月区分</t>
    <rPh sb="0" eb="2">
      <t>レイゲツ</t>
    </rPh>
    <rPh sb="2" eb="4">
      <t>クブン</t>
    </rPh>
    <phoneticPr fontId="1"/>
  </si>
  <si>
    <t>氏名</t>
    <phoneticPr fontId="1"/>
  </si>
  <si>
    <t>A区_出勤</t>
    <phoneticPr fontId="1"/>
  </si>
  <si>
    <t>A区_退勤</t>
    <phoneticPr fontId="1"/>
  </si>
  <si>
    <t>A区_休憩</t>
    <phoneticPr fontId="1"/>
  </si>
  <si>
    <t>B区_出勤</t>
    <phoneticPr fontId="1"/>
  </si>
  <si>
    <t>B区_退勤</t>
    <phoneticPr fontId="1"/>
  </si>
  <si>
    <t>B区_休憩</t>
    <phoneticPr fontId="1"/>
  </si>
  <si>
    <t>勤務日</t>
    <phoneticPr fontId="1"/>
  </si>
  <si>
    <t>実働時間</t>
    <rPh sb="0" eb="2">
      <t>ジツドウ</t>
    </rPh>
    <rPh sb="2" eb="4">
      <t>ジカン</t>
    </rPh>
    <phoneticPr fontId="1"/>
  </si>
  <si>
    <t>通常</t>
    <rPh sb="0" eb="2">
      <t>ツウジョウ</t>
    </rPh>
    <phoneticPr fontId="1"/>
  </si>
  <si>
    <t>深夜割増</t>
    <rPh sb="0" eb="2">
      <t>シンヤ</t>
    </rPh>
    <rPh sb="2" eb="4">
      <t>ワリマシ</t>
    </rPh>
    <phoneticPr fontId="1"/>
  </si>
  <si>
    <t>有給休暇</t>
    <phoneticPr fontId="1"/>
  </si>
  <si>
    <t>準夜帯</t>
    <rPh sb="0" eb="1">
      <t>ジュン</t>
    </rPh>
    <rPh sb="1" eb="2">
      <t>ヤ</t>
    </rPh>
    <rPh sb="2" eb="3">
      <t>タイ</t>
    </rPh>
    <phoneticPr fontId="3"/>
  </si>
  <si>
    <t>日勤帯</t>
    <rPh sb="0" eb="2">
      <t>ニッキン</t>
    </rPh>
    <rPh sb="2" eb="3">
      <t>タイ</t>
    </rPh>
    <phoneticPr fontId="3"/>
  </si>
  <si>
    <t>受領印</t>
    <rPh sb="0" eb="3">
      <t>ジュリョウイン</t>
    </rPh>
    <phoneticPr fontId="3"/>
  </si>
  <si>
    <t>勤務
日数</t>
    <rPh sb="0" eb="2">
      <t>キンム</t>
    </rPh>
    <rPh sb="3" eb="5">
      <t>ニッスウ</t>
    </rPh>
    <phoneticPr fontId="3"/>
  </si>
  <si>
    <t>通常</t>
    <rPh sb="0" eb="2">
      <t>ツウジョウ</t>
    </rPh>
    <phoneticPr fontId="3"/>
  </si>
  <si>
    <t>深夜割増</t>
    <rPh sb="0" eb="2">
      <t>シンヤ</t>
    </rPh>
    <rPh sb="2" eb="4">
      <t>ワリマシ</t>
    </rPh>
    <phoneticPr fontId="3"/>
  </si>
  <si>
    <t>実働
時間</t>
    <rPh sb="0" eb="2">
      <t>ジツドウ</t>
    </rPh>
    <rPh sb="3" eb="5">
      <t>ジカン</t>
    </rPh>
    <phoneticPr fontId="3"/>
  </si>
  <si>
    <t>支給
時間</t>
    <rPh sb="0" eb="2">
      <t>シキュウ</t>
    </rPh>
    <rPh sb="3" eb="5">
      <t>ジカン</t>
    </rPh>
    <phoneticPr fontId="3"/>
  </si>
  <si>
    <t>支給額</t>
    <rPh sb="0" eb="3">
      <t>シキュウガク</t>
    </rPh>
    <phoneticPr fontId="3"/>
  </si>
  <si>
    <t>時給</t>
    <rPh sb="0" eb="2">
      <t>ジキュウ</t>
    </rPh>
    <phoneticPr fontId="3"/>
  </si>
  <si>
    <t>支給額</t>
    <rPh sb="0" eb="2">
      <t>シキュウ</t>
    </rPh>
    <rPh sb="2" eb="3">
      <t>ガク</t>
    </rPh>
    <phoneticPr fontId="3"/>
  </si>
  <si>
    <t>職種</t>
    <rPh sb="0" eb="2">
      <t>ショクシュ</t>
    </rPh>
    <phoneticPr fontId="1"/>
  </si>
  <si>
    <t>コード</t>
    <phoneticPr fontId="1"/>
  </si>
  <si>
    <t>職員番号</t>
    <rPh sb="0" eb="2">
      <t>ショクイン</t>
    </rPh>
    <rPh sb="2" eb="4">
      <t>バンゴウ</t>
    </rPh>
    <phoneticPr fontId="1"/>
  </si>
  <si>
    <t>管理区分</t>
    <rPh sb="0" eb="2">
      <t>カンリ</t>
    </rPh>
    <rPh sb="2" eb="4">
      <t>クブン</t>
    </rPh>
    <phoneticPr fontId="1"/>
  </si>
  <si>
    <t>医師</t>
    <rPh sb="0" eb="2">
      <t>イシ</t>
    </rPh>
    <phoneticPr fontId="3"/>
  </si>
  <si>
    <t>氏名</t>
    <rPh sb="0" eb="2">
      <t>シメイ</t>
    </rPh>
    <phoneticPr fontId="1"/>
  </si>
  <si>
    <t>台帳最下行</t>
    <rPh sb="0" eb="2">
      <t>ダイチョウ</t>
    </rPh>
    <rPh sb="2" eb="4">
      <t>サイカ</t>
    </rPh>
    <rPh sb="4" eb="5">
      <t>ギョウ</t>
    </rPh>
    <phoneticPr fontId="1"/>
  </si>
  <si>
    <t>A区実働（通常）</t>
    <rPh sb="1" eb="2">
      <t>ク</t>
    </rPh>
    <rPh sb="2" eb="4">
      <t>ジツドウ</t>
    </rPh>
    <rPh sb="5" eb="7">
      <t>ツウジョウ</t>
    </rPh>
    <phoneticPr fontId="1"/>
  </si>
  <si>
    <t>A区実働（深夜）</t>
    <rPh sb="1" eb="2">
      <t>ク</t>
    </rPh>
    <rPh sb="2" eb="4">
      <t>ジツドウ</t>
    </rPh>
    <rPh sb="5" eb="7">
      <t>シンヤ</t>
    </rPh>
    <phoneticPr fontId="1"/>
  </si>
  <si>
    <t>B区実働（通常）</t>
    <rPh sb="1" eb="2">
      <t>ク</t>
    </rPh>
    <rPh sb="2" eb="4">
      <t>ジツドウ</t>
    </rPh>
    <rPh sb="5" eb="7">
      <t>ツウジョウ</t>
    </rPh>
    <phoneticPr fontId="1"/>
  </si>
  <si>
    <t>列</t>
    <rPh sb="0" eb="1">
      <t>レツ</t>
    </rPh>
    <phoneticPr fontId="1"/>
  </si>
  <si>
    <t>範囲</t>
    <rPh sb="0" eb="2">
      <t>ハンイ</t>
    </rPh>
    <phoneticPr fontId="1"/>
  </si>
  <si>
    <t>項目</t>
    <rPh sb="0" eb="2">
      <t>コウモク</t>
    </rPh>
    <phoneticPr fontId="1"/>
  </si>
  <si>
    <t>例月区分</t>
    <rPh sb="0" eb="2">
      <t>レイゲツ</t>
    </rPh>
    <rPh sb="2" eb="4">
      <t>クブン</t>
    </rPh>
    <phoneticPr fontId="1"/>
  </si>
  <si>
    <t>集計対象月</t>
    <rPh sb="0" eb="2">
      <t>シュウケイ</t>
    </rPh>
    <rPh sb="2" eb="4">
      <t>タイショウ</t>
    </rPh>
    <rPh sb="4" eb="5">
      <t>ツキ</t>
    </rPh>
    <phoneticPr fontId="1"/>
  </si>
  <si>
    <t>合計</t>
    <rPh sb="0" eb="2">
      <t>ゴウケイ</t>
    </rPh>
    <phoneticPr fontId="1"/>
  </si>
  <si>
    <t>例月区分</t>
    <phoneticPr fontId="1"/>
  </si>
  <si>
    <t>A区実働（通常）</t>
    <phoneticPr fontId="1"/>
  </si>
  <si>
    <t>A区実働（深夜）</t>
    <phoneticPr fontId="1"/>
  </si>
  <si>
    <t>B区実働（通常）</t>
    <phoneticPr fontId="1"/>
  </si>
  <si>
    <t>支給額
(割増なし)</t>
    <rPh sb="0" eb="3">
      <t>シキュウガク</t>
    </rPh>
    <rPh sb="5" eb="6">
      <t>ワ</t>
    </rPh>
    <rPh sb="6" eb="7">
      <t>マ</t>
    </rPh>
    <phoneticPr fontId="3"/>
  </si>
  <si>
    <t>-</t>
    <phoneticPr fontId="1"/>
  </si>
  <si>
    <t>コード</t>
  </si>
  <si>
    <t>医師氏名</t>
    <rPh sb="0" eb="2">
      <t>イシ</t>
    </rPh>
    <rPh sb="2" eb="4">
      <t>シメイ</t>
    </rPh>
    <phoneticPr fontId="3"/>
  </si>
  <si>
    <t>日数</t>
    <rPh sb="0" eb="2">
      <t>ニッスウ</t>
    </rPh>
    <phoneticPr fontId="3"/>
  </si>
  <si>
    <t>単価</t>
    <rPh sb="0" eb="2">
      <t>タンカ</t>
    </rPh>
    <phoneticPr fontId="3"/>
  </si>
  <si>
    <t>源泉税額</t>
    <rPh sb="0" eb="2">
      <t>ゲンセン</t>
    </rPh>
    <rPh sb="2" eb="4">
      <t>ゼイガク</t>
    </rPh>
    <phoneticPr fontId="3"/>
  </si>
  <si>
    <t>昼間</t>
    <rPh sb="0" eb="2">
      <t>ヒルマ</t>
    </rPh>
    <phoneticPr fontId="3"/>
  </si>
  <si>
    <t>夜間</t>
    <rPh sb="0" eb="2">
      <t>ヤカン</t>
    </rPh>
    <phoneticPr fontId="3"/>
  </si>
  <si>
    <t>合計</t>
    <rPh sb="0" eb="2">
      <t>ゴウケイ</t>
    </rPh>
    <phoneticPr fontId="3"/>
  </si>
  <si>
    <t>備考</t>
    <rPh sb="0" eb="2">
      <t>ビコウ</t>
    </rPh>
    <phoneticPr fontId="3"/>
  </si>
  <si>
    <t>謝礼額</t>
    <rPh sb="0" eb="2">
      <t>シャレイ</t>
    </rPh>
    <rPh sb="2" eb="3">
      <t>ガク</t>
    </rPh>
    <phoneticPr fontId="3"/>
  </si>
  <si>
    <t>医師氏名</t>
    <rPh sb="0" eb="2">
      <t>イシ</t>
    </rPh>
    <rPh sb="2" eb="4">
      <t>シメイ</t>
    </rPh>
    <phoneticPr fontId="1"/>
  </si>
  <si>
    <t>日数</t>
    <rPh sb="0" eb="2">
      <t>ニッスウ</t>
    </rPh>
    <phoneticPr fontId="1"/>
  </si>
  <si>
    <t>単価</t>
    <rPh sb="0" eb="2">
      <t>タンカ</t>
    </rPh>
    <phoneticPr fontId="1"/>
  </si>
  <si>
    <t>支給額</t>
    <rPh sb="0" eb="3">
      <t>シキュウガク</t>
    </rPh>
    <phoneticPr fontId="1"/>
  </si>
  <si>
    <t>受領印</t>
    <rPh sb="0" eb="3">
      <t>ジュリョウイン</t>
    </rPh>
    <phoneticPr fontId="1"/>
  </si>
  <si>
    <t>備考</t>
    <rPh sb="0" eb="1">
      <t>ソナエ</t>
    </rPh>
    <rPh sb="1" eb="2">
      <t>コウ</t>
    </rPh>
    <phoneticPr fontId="1"/>
  </si>
  <si>
    <t>特別日リスト</t>
    <rPh sb="0" eb="2">
      <t>トクベツ</t>
    </rPh>
    <rPh sb="2" eb="3">
      <t>ビ</t>
    </rPh>
    <phoneticPr fontId="1"/>
  </si>
  <si>
    <t>サンプル　太郎1</t>
    <rPh sb="5" eb="7">
      <t>タロウ</t>
    </rPh>
    <phoneticPr fontId="1"/>
  </si>
  <si>
    <t>サンプル　太郎2</t>
    <rPh sb="5" eb="7">
      <t>タロウ</t>
    </rPh>
    <phoneticPr fontId="1"/>
  </si>
  <si>
    <t>サンプル　太郎3</t>
    <rPh sb="5" eb="7">
      <t>タロウ</t>
    </rPh>
    <phoneticPr fontId="1"/>
  </si>
  <si>
    <t>サンプル　太郎4</t>
    <rPh sb="5" eb="7">
      <t>タロウ</t>
    </rPh>
    <phoneticPr fontId="1"/>
  </si>
  <si>
    <t>サンプル　太郎5</t>
    <rPh sb="5" eb="7">
      <t>タロウ</t>
    </rPh>
    <phoneticPr fontId="1"/>
  </si>
  <si>
    <t>サンプル　太郎6</t>
    <rPh sb="5" eb="7">
      <t>タロウ</t>
    </rPh>
    <phoneticPr fontId="1"/>
  </si>
  <si>
    <t>サンプル　太郎7</t>
    <rPh sb="5" eb="7">
      <t>タロウ</t>
    </rPh>
    <phoneticPr fontId="1"/>
  </si>
  <si>
    <t>サンプル　太郎8</t>
    <rPh sb="5" eb="7">
      <t>タロウ</t>
    </rPh>
    <phoneticPr fontId="1"/>
  </si>
  <si>
    <t>サンプル　太郎9</t>
    <rPh sb="5" eb="7">
      <t>タロウ</t>
    </rPh>
    <phoneticPr fontId="1"/>
  </si>
  <si>
    <t>サンプル　太郎10</t>
    <rPh sb="5" eb="7">
      <t>タロウ</t>
    </rPh>
    <phoneticPr fontId="1"/>
  </si>
  <si>
    <t>サンプル　太郎11</t>
    <rPh sb="5" eb="7">
      <t>タロウ</t>
    </rPh>
    <phoneticPr fontId="1"/>
  </si>
  <si>
    <t>サンプル　太郎12</t>
    <rPh sb="5" eb="7">
      <t>タロウ</t>
    </rPh>
    <phoneticPr fontId="1"/>
  </si>
  <si>
    <t>サンプル　太郎13</t>
    <rPh sb="5" eb="7">
      <t>タロウ</t>
    </rPh>
    <phoneticPr fontId="1"/>
  </si>
  <si>
    <t>サンプル　太郎14</t>
    <rPh sb="5" eb="7">
      <t>タロウ</t>
    </rPh>
    <phoneticPr fontId="1"/>
  </si>
  <si>
    <t>サンプル　太郎15</t>
    <rPh sb="5" eb="7">
      <t>タロウ</t>
    </rPh>
    <phoneticPr fontId="1"/>
  </si>
  <si>
    <t>サンプル　太郎16</t>
    <rPh sb="5" eb="7">
      <t>タロウ</t>
    </rPh>
    <phoneticPr fontId="1"/>
  </si>
  <si>
    <t>サンプル　太郎17</t>
    <rPh sb="5" eb="7">
      <t>タロウ</t>
    </rPh>
    <phoneticPr fontId="1"/>
  </si>
  <si>
    <t>サンプル　太郎18</t>
    <rPh sb="5" eb="7">
      <t>タロウ</t>
    </rPh>
    <phoneticPr fontId="1"/>
  </si>
  <si>
    <t>サンプル　太郎19</t>
    <rPh sb="5" eb="7">
      <t>タロウ</t>
    </rPh>
    <phoneticPr fontId="1"/>
  </si>
  <si>
    <t>サンプル　太郎20</t>
    <rPh sb="5" eb="7">
      <t>タロウ</t>
    </rPh>
    <phoneticPr fontId="1"/>
  </si>
  <si>
    <t>サンプル　太郎21</t>
    <rPh sb="5" eb="7">
      <t>タロウ</t>
    </rPh>
    <phoneticPr fontId="1"/>
  </si>
  <si>
    <t>サンプル　太郎22</t>
    <rPh sb="5" eb="7">
      <t>タロウ</t>
    </rPh>
    <phoneticPr fontId="1"/>
  </si>
  <si>
    <t>サンプル　太郎23</t>
    <rPh sb="5" eb="7">
      <t>タロウ</t>
    </rPh>
    <phoneticPr fontId="1"/>
  </si>
  <si>
    <t>サンプル　太郎24</t>
    <rPh sb="5" eb="7">
      <t>タロウ</t>
    </rPh>
    <phoneticPr fontId="1"/>
  </si>
  <si>
    <t>サンプル　太郎25</t>
    <rPh sb="5" eb="7">
      <t>タロウ</t>
    </rPh>
    <phoneticPr fontId="1"/>
  </si>
  <si>
    <t>サンプル　太郎26</t>
    <rPh sb="5" eb="7">
      <t>タロウ</t>
    </rPh>
    <phoneticPr fontId="1"/>
  </si>
  <si>
    <t>サンプル　太郎27</t>
    <rPh sb="5" eb="7">
      <t>タロウ</t>
    </rPh>
    <phoneticPr fontId="1"/>
  </si>
  <si>
    <t>サンプル　太郎28</t>
    <rPh sb="5" eb="7">
      <t>タロウ</t>
    </rPh>
    <phoneticPr fontId="1"/>
  </si>
  <si>
    <t>サンプル　太郎29</t>
    <rPh sb="5" eb="7">
      <t>タロウ</t>
    </rPh>
    <phoneticPr fontId="1"/>
  </si>
  <si>
    <t>サンプル　太郎30</t>
    <rPh sb="5" eb="7">
      <t>タロウ</t>
    </rPh>
    <phoneticPr fontId="1"/>
  </si>
  <si>
    <t>サンプル　太郎31</t>
    <rPh sb="5" eb="7">
      <t>タロウ</t>
    </rPh>
    <phoneticPr fontId="1"/>
  </si>
  <si>
    <t>サンプル　太郎32</t>
    <rPh sb="5" eb="7">
      <t>タロウ</t>
    </rPh>
    <phoneticPr fontId="1"/>
  </si>
  <si>
    <t>サンプル　太郎33</t>
    <rPh sb="5" eb="7">
      <t>タロウ</t>
    </rPh>
    <phoneticPr fontId="1"/>
  </si>
  <si>
    <t>サンプル　太郎34</t>
    <rPh sb="5" eb="7">
      <t>タロウ</t>
    </rPh>
    <phoneticPr fontId="1"/>
  </si>
  <si>
    <t>サンプル　太郎35</t>
    <rPh sb="5" eb="7">
      <t>タロウ</t>
    </rPh>
    <phoneticPr fontId="1"/>
  </si>
  <si>
    <t>サンプル　太郎36</t>
    <rPh sb="5" eb="7">
      <t>タロウ</t>
    </rPh>
    <phoneticPr fontId="1"/>
  </si>
  <si>
    <t>サンプル　太郎37</t>
    <rPh sb="5" eb="7">
      <t>タロウ</t>
    </rPh>
    <phoneticPr fontId="1"/>
  </si>
  <si>
    <t>サンプル　太郎38</t>
    <rPh sb="5" eb="7">
      <t>タロウ</t>
    </rPh>
    <phoneticPr fontId="1"/>
  </si>
  <si>
    <t>サンプル　太郎39</t>
    <rPh sb="5" eb="7">
      <t>タロウ</t>
    </rPh>
    <phoneticPr fontId="1"/>
  </si>
  <si>
    <t>サンプル　太郎40</t>
    <rPh sb="5" eb="7">
      <t>タロウ</t>
    </rPh>
    <phoneticPr fontId="1"/>
  </si>
  <si>
    <t>サンプル　太郎41</t>
    <rPh sb="5" eb="7">
      <t>タロウ</t>
    </rPh>
    <phoneticPr fontId="1"/>
  </si>
  <si>
    <t>サンプル　太郎42</t>
    <rPh sb="5" eb="7">
      <t>タロウ</t>
    </rPh>
    <phoneticPr fontId="1"/>
  </si>
  <si>
    <t>サンプル　太郎43</t>
    <rPh sb="5" eb="7">
      <t>タロウ</t>
    </rPh>
    <phoneticPr fontId="1"/>
  </si>
  <si>
    <t>サンプル　太郎44</t>
    <rPh sb="5" eb="7">
      <t>タロウ</t>
    </rPh>
    <phoneticPr fontId="1"/>
  </si>
  <si>
    <t>サンプル　太郎45</t>
    <rPh sb="5" eb="7">
      <t>タロウ</t>
    </rPh>
    <phoneticPr fontId="1"/>
  </si>
  <si>
    <t>サンプル　太郎46</t>
    <rPh sb="5" eb="7">
      <t>タロウ</t>
    </rPh>
    <phoneticPr fontId="1"/>
  </si>
  <si>
    <t>サンプル　太郎47</t>
    <rPh sb="5" eb="7">
      <t>タロウ</t>
    </rPh>
    <phoneticPr fontId="1"/>
  </si>
  <si>
    <t>サンプル　太郎48</t>
    <rPh sb="5" eb="7">
      <t>タロウ</t>
    </rPh>
    <phoneticPr fontId="1"/>
  </si>
  <si>
    <t>サンプル　太郎49</t>
    <rPh sb="5" eb="7">
      <t>タロウ</t>
    </rPh>
    <phoneticPr fontId="1"/>
  </si>
  <si>
    <t>サンプル　太郎50</t>
    <rPh sb="5" eb="7">
      <t>タロウ</t>
    </rPh>
    <phoneticPr fontId="1"/>
  </si>
  <si>
    <t>サンプル　太郎51</t>
    <rPh sb="5" eb="7">
      <t>タロウ</t>
    </rPh>
    <phoneticPr fontId="1"/>
  </si>
  <si>
    <t>サンプル　太郎52</t>
    <rPh sb="5" eb="7">
      <t>タロウ</t>
    </rPh>
    <phoneticPr fontId="1"/>
  </si>
  <si>
    <t>サンプル　太郎53</t>
    <rPh sb="5" eb="7">
      <t>タロウ</t>
    </rPh>
    <phoneticPr fontId="1"/>
  </si>
  <si>
    <t>サンプル　太郎54</t>
    <rPh sb="5" eb="7">
      <t>タロウ</t>
    </rPh>
    <phoneticPr fontId="1"/>
  </si>
  <si>
    <t>サンプル　太郎55</t>
    <rPh sb="5" eb="7">
      <t>タロウ</t>
    </rPh>
    <phoneticPr fontId="1"/>
  </si>
  <si>
    <t>サンプル　太郎56</t>
    <rPh sb="5" eb="7">
      <t>タロウ</t>
    </rPh>
    <phoneticPr fontId="1"/>
  </si>
  <si>
    <t>サンプル　太郎57</t>
    <rPh sb="5" eb="7">
      <t>タロウ</t>
    </rPh>
    <phoneticPr fontId="1"/>
  </si>
  <si>
    <t>サンプル　太郎58</t>
    <rPh sb="5" eb="7">
      <t>タロウ</t>
    </rPh>
    <phoneticPr fontId="1"/>
  </si>
  <si>
    <t>サンプル　太郎59</t>
    <rPh sb="5" eb="7">
      <t>タロウ</t>
    </rPh>
    <phoneticPr fontId="1"/>
  </si>
  <si>
    <t>サンプル　太郎60</t>
    <rPh sb="5" eb="7">
      <t>タロウ</t>
    </rPh>
    <phoneticPr fontId="1"/>
  </si>
  <si>
    <t>サンプル　太郎61</t>
    <rPh sb="5" eb="7">
      <t>タロウ</t>
    </rPh>
    <phoneticPr fontId="1"/>
  </si>
  <si>
    <t>サンプル　太郎62</t>
    <rPh sb="5" eb="7">
      <t>タロウ</t>
    </rPh>
    <phoneticPr fontId="1"/>
  </si>
  <si>
    <t>サンプル　太郎63</t>
    <rPh sb="5" eb="7">
      <t>タロウ</t>
    </rPh>
    <phoneticPr fontId="1"/>
  </si>
  <si>
    <t>サンプル　太郎64</t>
    <rPh sb="5" eb="7">
      <t>タロウ</t>
    </rPh>
    <phoneticPr fontId="1"/>
  </si>
  <si>
    <t>サンプル　太郎65</t>
    <rPh sb="5" eb="7">
      <t>タロウ</t>
    </rPh>
    <phoneticPr fontId="1"/>
  </si>
  <si>
    <t>サンプル　太郎66</t>
    <rPh sb="5" eb="7">
      <t>タロウ</t>
    </rPh>
    <phoneticPr fontId="1"/>
  </si>
  <si>
    <t>サンプル　太郎67</t>
    <rPh sb="5" eb="7">
      <t>タロウ</t>
    </rPh>
    <phoneticPr fontId="1"/>
  </si>
  <si>
    <t>サンプル　太郎68</t>
    <rPh sb="5" eb="7">
      <t>タロウ</t>
    </rPh>
    <phoneticPr fontId="1"/>
  </si>
  <si>
    <t>サンプル　太郎69</t>
    <rPh sb="5" eb="7">
      <t>タロウ</t>
    </rPh>
    <phoneticPr fontId="1"/>
  </si>
  <si>
    <t>サンプル　太郎70</t>
    <rPh sb="5" eb="7">
      <t>タロウ</t>
    </rPh>
    <phoneticPr fontId="1"/>
  </si>
  <si>
    <t>サンプル　太郎71</t>
    <rPh sb="5" eb="7">
      <t>タロウ</t>
    </rPh>
    <phoneticPr fontId="1"/>
  </si>
  <si>
    <t>サンプル　太郎72</t>
    <rPh sb="5" eb="7">
      <t>タロウ</t>
    </rPh>
    <phoneticPr fontId="1"/>
  </si>
  <si>
    <t>サンプル　太郎73</t>
    <rPh sb="5" eb="7">
      <t>タロウ</t>
    </rPh>
    <phoneticPr fontId="1"/>
  </si>
  <si>
    <t>サンプル　太郎74</t>
    <rPh sb="5" eb="7">
      <t>タロウ</t>
    </rPh>
    <phoneticPr fontId="1"/>
  </si>
  <si>
    <t>サンプル　太郎75</t>
    <rPh sb="5" eb="7">
      <t>タロウ</t>
    </rPh>
    <phoneticPr fontId="1"/>
  </si>
  <si>
    <t>サンプル　太郎76</t>
    <rPh sb="5" eb="7">
      <t>タロウ</t>
    </rPh>
    <phoneticPr fontId="1"/>
  </si>
  <si>
    <t>サンプル　太郎77</t>
    <rPh sb="5" eb="7">
      <t>タロウ</t>
    </rPh>
    <phoneticPr fontId="1"/>
  </si>
  <si>
    <t>サンプル　太郎78</t>
    <rPh sb="5" eb="7">
      <t>タロウ</t>
    </rPh>
    <phoneticPr fontId="1"/>
  </si>
  <si>
    <t>サンプル　太郎79</t>
    <rPh sb="5" eb="7">
      <t>タロウ</t>
    </rPh>
    <phoneticPr fontId="1"/>
  </si>
  <si>
    <t>サンプル　太郎80</t>
    <rPh sb="5" eb="7">
      <t>タロウ</t>
    </rPh>
    <phoneticPr fontId="1"/>
  </si>
  <si>
    <t>サンプル　太郎81</t>
    <rPh sb="5" eb="7">
      <t>タロウ</t>
    </rPh>
    <phoneticPr fontId="1"/>
  </si>
  <si>
    <t>サンプル　太郎82</t>
    <rPh sb="5" eb="7">
      <t>タロウ</t>
    </rPh>
    <phoneticPr fontId="1"/>
  </si>
  <si>
    <t>サンプル　太郎83</t>
    <rPh sb="5" eb="7">
      <t>タロウ</t>
    </rPh>
    <phoneticPr fontId="1"/>
  </si>
  <si>
    <t>サンプル　太郎84</t>
    <rPh sb="5" eb="7">
      <t>タロウ</t>
    </rPh>
    <phoneticPr fontId="1"/>
  </si>
  <si>
    <t>サンプル　太郎85</t>
    <rPh sb="5" eb="7">
      <t>タロウ</t>
    </rPh>
    <phoneticPr fontId="1"/>
  </si>
  <si>
    <t>サンプル　太郎86</t>
    <rPh sb="5" eb="7">
      <t>タロウ</t>
    </rPh>
    <phoneticPr fontId="1"/>
  </si>
  <si>
    <t>00001</t>
    <phoneticPr fontId="1"/>
  </si>
  <si>
    <t>00003</t>
  </si>
  <si>
    <t>00004</t>
  </si>
  <si>
    <t>00005</t>
  </si>
  <si>
    <t>00006</t>
  </si>
  <si>
    <t>00007</t>
  </si>
  <si>
    <t>00008</t>
  </si>
  <si>
    <t>00009</t>
  </si>
  <si>
    <t>000010</t>
  </si>
  <si>
    <t>000011</t>
  </si>
  <si>
    <t>000012</t>
  </si>
  <si>
    <t>000013</t>
  </si>
  <si>
    <t>000014</t>
  </si>
  <si>
    <t>000015</t>
  </si>
  <si>
    <t>000001</t>
    <phoneticPr fontId="1"/>
  </si>
  <si>
    <t>00002</t>
    <phoneticPr fontId="1"/>
  </si>
  <si>
    <t>000003</t>
  </si>
  <si>
    <t>000002</t>
    <phoneticPr fontId="1"/>
  </si>
  <si>
    <t>000004</t>
  </si>
  <si>
    <t>000005</t>
  </si>
  <si>
    <t>000006</t>
  </si>
  <si>
    <t>000007</t>
  </si>
  <si>
    <t>000008</t>
  </si>
  <si>
    <t>000009</t>
  </si>
  <si>
    <t>00010</t>
  </si>
  <si>
    <t>00011</t>
  </si>
  <si>
    <t>00012</t>
  </si>
  <si>
    <t>00013</t>
  </si>
  <si>
    <t>00014</t>
  </si>
  <si>
    <t>00015</t>
  </si>
  <si>
    <t>00016</t>
  </si>
  <si>
    <t>000016</t>
  </si>
  <si>
    <t>00017</t>
  </si>
  <si>
    <t>000017</t>
  </si>
  <si>
    <t>00018</t>
  </si>
  <si>
    <t>000018</t>
  </si>
  <si>
    <t>00019</t>
  </si>
  <si>
    <t>000019</t>
  </si>
  <si>
    <t>00020</t>
  </si>
  <si>
    <t>000020</t>
  </si>
  <si>
    <t>00021</t>
  </si>
  <si>
    <t>000021</t>
  </si>
  <si>
    <t>00022</t>
  </si>
  <si>
    <t>000022</t>
  </si>
  <si>
    <t>00023</t>
  </si>
  <si>
    <t>000023</t>
  </si>
  <si>
    <t>00024</t>
  </si>
  <si>
    <t>000024</t>
  </si>
  <si>
    <t>00025</t>
  </si>
  <si>
    <t>000025</t>
  </si>
  <si>
    <t>00026</t>
  </si>
  <si>
    <t>000026</t>
  </si>
  <si>
    <t>00027</t>
  </si>
  <si>
    <t>000027</t>
  </si>
  <si>
    <t>00028</t>
  </si>
  <si>
    <t>000028</t>
  </si>
  <si>
    <t>00029</t>
  </si>
  <si>
    <t>000029</t>
  </si>
  <si>
    <t>00030</t>
  </si>
  <si>
    <t>000030</t>
  </si>
  <si>
    <t>00031</t>
  </si>
  <si>
    <t>000031</t>
  </si>
  <si>
    <t>00032</t>
  </si>
  <si>
    <t>000032</t>
  </si>
  <si>
    <t>00033</t>
  </si>
  <si>
    <t>000033</t>
  </si>
  <si>
    <t>00034</t>
  </si>
  <si>
    <t>000034</t>
  </si>
  <si>
    <t>00035</t>
  </si>
  <si>
    <t>000035</t>
  </si>
  <si>
    <t>00036</t>
  </si>
  <si>
    <t>000036</t>
  </si>
  <si>
    <t>00037</t>
  </si>
  <si>
    <t>000037</t>
  </si>
  <si>
    <t>00038</t>
  </si>
  <si>
    <t>000038</t>
  </si>
  <si>
    <t>00039</t>
  </si>
  <si>
    <t>000039</t>
  </si>
  <si>
    <t>00040</t>
  </si>
  <si>
    <t>000040</t>
  </si>
  <si>
    <t>00041</t>
  </si>
  <si>
    <t>000041</t>
  </si>
  <si>
    <t>00042</t>
  </si>
  <si>
    <t>000042</t>
  </si>
  <si>
    <t>00043</t>
  </si>
  <si>
    <t>000043</t>
  </si>
  <si>
    <t>00044</t>
  </si>
  <si>
    <t>000044</t>
  </si>
  <si>
    <t>00045</t>
  </si>
  <si>
    <t>000045</t>
  </si>
  <si>
    <t>00046</t>
  </si>
  <si>
    <t>000046</t>
  </si>
  <si>
    <t>00047</t>
  </si>
  <si>
    <t>000047</t>
  </si>
  <si>
    <t>00048</t>
  </si>
  <si>
    <t>000048</t>
  </si>
  <si>
    <t>00049</t>
  </si>
  <si>
    <t>000049</t>
  </si>
  <si>
    <t>00050</t>
  </si>
  <si>
    <t>000050</t>
  </si>
  <si>
    <t>00051</t>
  </si>
  <si>
    <t>000051</t>
  </si>
  <si>
    <t>00052</t>
  </si>
  <si>
    <t>000052</t>
  </si>
  <si>
    <t>00053</t>
  </si>
  <si>
    <t>000053</t>
  </si>
  <si>
    <t>00054</t>
  </si>
  <si>
    <t>000054</t>
  </si>
  <si>
    <t>00055</t>
  </si>
  <si>
    <t>000055</t>
  </si>
  <si>
    <t>00056</t>
  </si>
  <si>
    <t>000056</t>
  </si>
  <si>
    <t>00057</t>
  </si>
  <si>
    <t>000057</t>
  </si>
  <si>
    <t>00058</t>
  </si>
  <si>
    <t>000058</t>
  </si>
  <si>
    <t>00059</t>
  </si>
  <si>
    <t>000059</t>
  </si>
  <si>
    <t>00060</t>
  </si>
  <si>
    <t>000060</t>
  </si>
  <si>
    <t>00061</t>
  </si>
  <si>
    <t>000061</t>
  </si>
  <si>
    <t>00062</t>
  </si>
  <si>
    <t>000062</t>
  </si>
  <si>
    <t>00063</t>
  </si>
  <si>
    <t>000063</t>
  </si>
  <si>
    <t>00064</t>
  </si>
  <si>
    <t>000064</t>
  </si>
  <si>
    <t>00065</t>
  </si>
  <si>
    <t>000065</t>
  </si>
  <si>
    <t>00066</t>
  </si>
  <si>
    <t>000066</t>
  </si>
  <si>
    <t>00067</t>
  </si>
  <si>
    <t>000067</t>
  </si>
  <si>
    <t>00068</t>
  </si>
  <si>
    <t>000068</t>
  </si>
  <si>
    <t>00069</t>
  </si>
  <si>
    <t>000069</t>
  </si>
  <si>
    <t>00070</t>
  </si>
  <si>
    <t>000070</t>
  </si>
  <si>
    <t>00071</t>
  </si>
  <si>
    <t>000071</t>
  </si>
  <si>
    <t>00072</t>
  </si>
  <si>
    <t>000072</t>
  </si>
  <si>
    <t>00073</t>
  </si>
  <si>
    <t>000073</t>
  </si>
  <si>
    <t>00074</t>
  </si>
  <si>
    <t>000074</t>
  </si>
  <si>
    <t>00075</t>
  </si>
  <si>
    <t>000075</t>
  </si>
  <si>
    <t>00076</t>
  </si>
  <si>
    <t>000076</t>
  </si>
  <si>
    <t>00077</t>
  </si>
  <si>
    <t>000077</t>
  </si>
  <si>
    <t>00078</t>
  </si>
  <si>
    <t>000078</t>
  </si>
  <si>
    <t>00079</t>
  </si>
  <si>
    <t>000079</t>
  </si>
  <si>
    <t>00080</t>
  </si>
  <si>
    <t>000080</t>
  </si>
  <si>
    <t>00081</t>
  </si>
  <si>
    <t>000081</t>
  </si>
  <si>
    <t>00082</t>
  </si>
  <si>
    <t>000082</t>
  </si>
  <si>
    <t>00083</t>
  </si>
  <si>
    <t>000083</t>
  </si>
  <si>
    <t>00084</t>
  </si>
  <si>
    <t>000084</t>
  </si>
  <si>
    <t>00085</t>
  </si>
  <si>
    <t>000085</t>
  </si>
  <si>
    <t>00086</t>
  </si>
  <si>
    <t>000086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</si>
</sst>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&quot;月&quot;dd&quot;日(&quot;aaa&quot;)&quot;"/>
    <numFmt numFmtId="177" formatCode="h:mm;@"/>
    <numFmt numFmtId="178" formatCode="[$-411]ge\.mm\.dd;@"/>
    <numFmt numFmtId="179" formatCode="ge\.m"/>
    <numFmt numFmtId="180" formatCode="#,##0_ "/>
    <numFmt numFmtId="181" formatCode="[h]:mm;@"/>
    <numFmt numFmtId="182" formatCode="#,##0_);[Red]\(#,##0\)"/>
    <numFmt numFmtId="183" formatCode="yyyy/mm/dd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7" fontId="0" fillId="0" borderId="7" xfId="0" applyNumberForma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7" xfId="0" applyNumberForma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2" borderId="19" xfId="0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56" fontId="0" fillId="0" borderId="0" xfId="0" applyNumberFormat="1" applyAlignment="1">
      <alignment horizontal="center" vertical="center"/>
    </xf>
    <xf numFmtId="177" fontId="0" fillId="4" borderId="22" xfId="0" applyNumberFormat="1" applyFill="1" applyBorder="1" applyAlignment="1">
      <alignment horizontal="center" vertical="center"/>
    </xf>
    <xf numFmtId="177" fontId="0" fillId="3" borderId="7" xfId="0" applyNumberFormat="1" applyFill="1" applyBorder="1" applyAlignment="1">
      <alignment horizontal="center" vertical="center"/>
    </xf>
    <xf numFmtId="177" fontId="0" fillId="4" borderId="23" xfId="0" applyNumberFormat="1" applyFill="1" applyBorder="1" applyAlignment="1">
      <alignment horizontal="center" vertical="center"/>
    </xf>
    <xf numFmtId="176" fontId="3" fillId="0" borderId="15" xfId="0" applyNumberFormat="1" applyFont="1" applyBorder="1">
      <alignment vertical="center"/>
    </xf>
    <xf numFmtId="177" fontId="0" fillId="3" borderId="17" xfId="0" applyNumberFormat="1" applyFill="1" applyBorder="1" applyAlignment="1">
      <alignment horizontal="center" vertical="center"/>
    </xf>
    <xf numFmtId="177" fontId="0" fillId="4" borderId="24" xfId="0" applyNumberFormat="1" applyFill="1" applyBorder="1" applyAlignment="1">
      <alignment horizontal="center" vertical="center"/>
    </xf>
    <xf numFmtId="176" fontId="0" fillId="0" borderId="13" xfId="0" applyNumberFormat="1" applyBorder="1">
      <alignment vertical="center"/>
    </xf>
    <xf numFmtId="177" fontId="0" fillId="3" borderId="1" xfId="0" applyNumberFormat="1" applyFill="1" applyBorder="1" applyAlignment="1">
      <alignment horizontal="center" vertical="center"/>
    </xf>
    <xf numFmtId="176" fontId="0" fillId="0" borderId="14" xfId="0" applyNumberFormat="1" applyBorder="1">
      <alignment vertical="center"/>
    </xf>
    <xf numFmtId="56" fontId="0" fillId="0" borderId="0" xfId="0" applyNumberFormat="1">
      <alignment vertical="center"/>
    </xf>
    <xf numFmtId="0" fontId="0" fillId="0" borderId="1" xfId="0" applyBorder="1" applyAlignment="1">
      <alignment horizontal="left" vertical="center" shrinkToFit="1"/>
    </xf>
    <xf numFmtId="179" fontId="0" fillId="0" borderId="20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181" fontId="0" fillId="0" borderId="0" xfId="0" applyNumberFormat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2" fontId="0" fillId="0" borderId="0" xfId="0" applyNumberFormat="1">
      <alignment vertical="center"/>
    </xf>
    <xf numFmtId="182" fontId="0" fillId="0" borderId="1" xfId="0" applyNumberFormat="1" applyBorder="1">
      <alignment vertical="center"/>
    </xf>
    <xf numFmtId="180" fontId="0" fillId="3" borderId="1" xfId="0" applyNumberFormat="1" applyFill="1" applyBorder="1" applyAlignment="1">
      <alignment horizontal="center" vertical="center"/>
    </xf>
    <xf numFmtId="181" fontId="0" fillId="3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left" vertical="center" shrinkToFit="1"/>
    </xf>
    <xf numFmtId="0" fontId="0" fillId="9" borderId="1" xfId="0" applyFill="1" applyBorder="1" applyAlignment="1">
      <alignment horizontal="center" vertical="center"/>
    </xf>
    <xf numFmtId="179" fontId="0" fillId="12" borderId="1" xfId="0" applyNumberFormat="1" applyFill="1" applyBorder="1" applyAlignment="1">
      <alignment horizontal="center" vertical="center"/>
    </xf>
    <xf numFmtId="179" fontId="0" fillId="0" borderId="29" xfId="0" applyNumberFormat="1" applyBorder="1" applyAlignment="1">
      <alignment horizontal="center" vertical="center" shrinkToFit="1"/>
    </xf>
    <xf numFmtId="0" fontId="0" fillId="2" borderId="28" xfId="0" applyFill="1" applyBorder="1" applyAlignment="1">
      <alignment horizontal="center" vertical="center"/>
    </xf>
    <xf numFmtId="180" fontId="0" fillId="7" borderId="1" xfId="0" applyNumberFormat="1" applyFill="1" applyBorder="1" applyAlignment="1">
      <alignment horizontal="right" vertical="center"/>
    </xf>
    <xf numFmtId="180" fontId="0" fillId="6" borderId="1" xfId="0" applyNumberFormat="1" applyFill="1" applyBorder="1" applyAlignment="1">
      <alignment horizontal="right" vertical="center"/>
    </xf>
    <xf numFmtId="179" fontId="0" fillId="9" borderId="1" xfId="0" applyNumberFormat="1" applyFill="1" applyBorder="1" applyAlignment="1">
      <alignment horizontal="center" vertical="center"/>
    </xf>
    <xf numFmtId="177" fontId="0" fillId="12" borderId="1" xfId="0" applyNumberFormat="1" applyFill="1" applyBorder="1" applyAlignment="1">
      <alignment horizontal="center" vertical="center"/>
    </xf>
    <xf numFmtId="182" fontId="0" fillId="8" borderId="1" xfId="0" applyNumberFormat="1" applyFill="1" applyBorder="1">
      <alignment vertical="center"/>
    </xf>
    <xf numFmtId="0" fontId="0" fillId="0" borderId="26" xfId="0" applyBorder="1" applyAlignment="1">
      <alignment horizontal="center" vertical="center"/>
    </xf>
    <xf numFmtId="180" fontId="0" fillId="0" borderId="26" xfId="0" applyNumberFormat="1" applyBorder="1">
      <alignment vertical="center"/>
    </xf>
    <xf numFmtId="181" fontId="0" fillId="0" borderId="26" xfId="0" applyNumberFormat="1" applyBorder="1" applyAlignment="1">
      <alignment horizontal="center" vertical="center"/>
    </xf>
    <xf numFmtId="180" fontId="0" fillId="7" borderId="26" xfId="0" applyNumberFormat="1" applyFill="1" applyBorder="1" applyAlignment="1">
      <alignment horizontal="right" vertical="center"/>
    </xf>
    <xf numFmtId="180" fontId="0" fillId="6" borderId="26" xfId="0" applyNumberFormat="1" applyFill="1" applyBorder="1" applyAlignment="1">
      <alignment horizontal="right" vertical="center"/>
    </xf>
    <xf numFmtId="182" fontId="0" fillId="0" borderId="26" xfId="0" applyNumberFormat="1" applyBorder="1">
      <alignment vertical="center"/>
    </xf>
    <xf numFmtId="182" fontId="0" fillId="8" borderId="26" xfId="0" applyNumberFormat="1" applyFill="1" applyBorder="1">
      <alignment vertical="center"/>
    </xf>
    <xf numFmtId="0" fontId="0" fillId="10" borderId="30" xfId="0" applyFill="1" applyBorder="1" applyAlignment="1">
      <alignment horizontal="center" vertical="center"/>
    </xf>
    <xf numFmtId="180" fontId="0" fillId="10" borderId="30" xfId="0" applyNumberFormat="1" applyFill="1" applyBorder="1" applyAlignment="1">
      <alignment horizontal="center" vertical="center"/>
    </xf>
    <xf numFmtId="181" fontId="0" fillId="10" borderId="30" xfId="0" applyNumberFormat="1" applyFill="1" applyBorder="1" applyAlignment="1">
      <alignment horizontal="center" vertical="center"/>
    </xf>
    <xf numFmtId="180" fontId="0" fillId="10" borderId="30" xfId="0" applyNumberFormat="1" applyFill="1" applyBorder="1" applyAlignment="1">
      <alignment horizontal="right" vertical="center"/>
    </xf>
    <xf numFmtId="182" fontId="0" fillId="10" borderId="30" xfId="0" applyNumberFormat="1" applyFill="1" applyBorder="1">
      <alignment vertical="center"/>
    </xf>
    <xf numFmtId="180" fontId="0" fillId="0" borderId="1" xfId="0" applyNumberForma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3" xfId="0" applyNumberFormat="1" applyBorder="1" applyAlignment="1">
      <alignment horizontal="center" vertical="center"/>
    </xf>
    <xf numFmtId="183" fontId="0" fillId="0" borderId="14" xfId="0" applyNumberFormat="1" applyBorder="1" applyAlignment="1">
      <alignment horizontal="center" vertical="center"/>
    </xf>
    <xf numFmtId="183" fontId="0" fillId="0" borderId="15" xfId="0" applyNumberFormat="1" applyBorder="1" applyAlignment="1">
      <alignment horizontal="center" vertical="center"/>
    </xf>
    <xf numFmtId="183" fontId="0" fillId="2" borderId="28" xfId="0" applyNumberFormat="1" applyFill="1" applyBorder="1" applyAlignment="1">
      <alignment horizontal="center" vertical="center"/>
    </xf>
    <xf numFmtId="180" fontId="0" fillId="2" borderId="1" xfId="0" applyNumberFormat="1" applyFill="1" applyBorder="1" applyAlignment="1">
      <alignment horizontal="center" vertical="center"/>
    </xf>
    <xf numFmtId="180" fontId="0" fillId="2" borderId="1" xfId="0" applyNumberFormat="1" applyFill="1" applyBorder="1">
      <alignment vertical="center"/>
    </xf>
    <xf numFmtId="180" fontId="0" fillId="2" borderId="0" xfId="0" applyNumberFormat="1" applyFill="1">
      <alignment vertical="center"/>
    </xf>
    <xf numFmtId="0" fontId="0" fillId="0" borderId="1" xfId="0" applyBorder="1" applyAlignment="1">
      <alignment horizontal="center" vertical="center" shrinkToFit="1"/>
    </xf>
    <xf numFmtId="49" fontId="6" fillId="0" borderId="0" xfId="0" applyNumberFormat="1" applyFont="1" applyAlignment="1">
      <alignment horizontal="left" vertical="center" indent="1"/>
    </xf>
    <xf numFmtId="177" fontId="0" fillId="0" borderId="6" xfId="0" applyNumberFormat="1" applyBorder="1" applyAlignment="1" applyProtection="1">
      <alignment horizontal="left" vertical="center"/>
      <protection locked="0"/>
    </xf>
    <xf numFmtId="177" fontId="0" fillId="0" borderId="7" xfId="0" applyNumberFormat="1" applyBorder="1" applyAlignment="1" applyProtection="1">
      <alignment horizontal="left" vertical="center"/>
      <protection locked="0"/>
    </xf>
    <xf numFmtId="177" fontId="0" fillId="0" borderId="8" xfId="0" applyNumberFormat="1" applyBorder="1" applyAlignment="1" applyProtection="1">
      <alignment horizontal="left" vertical="center"/>
      <protection locked="0"/>
    </xf>
    <xf numFmtId="177" fontId="0" fillId="2" borderId="2" xfId="0" applyNumberFormat="1" applyFill="1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4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177" fontId="0" fillId="7" borderId="10" xfId="0" applyNumberFormat="1" applyFill="1" applyBorder="1" applyAlignment="1">
      <alignment horizontal="center" vertical="center"/>
    </xf>
    <xf numFmtId="177" fontId="0" fillId="7" borderId="11" xfId="0" applyNumberForma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7" fontId="0" fillId="7" borderId="7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177" fontId="0" fillId="6" borderId="7" xfId="0" applyNumberFormat="1" applyFill="1" applyBorder="1" applyAlignment="1">
      <alignment horizontal="center" vertical="center"/>
    </xf>
    <xf numFmtId="177" fontId="0" fillId="7" borderId="19" xfId="0" applyNumberFormat="1" applyFill="1" applyBorder="1" applyAlignment="1">
      <alignment horizontal="center" vertical="center"/>
    </xf>
    <xf numFmtId="177" fontId="0" fillId="7" borderId="25" xfId="0" applyNumberFormat="1" applyFill="1" applyBorder="1" applyAlignment="1">
      <alignment horizontal="center" vertical="center"/>
    </xf>
    <xf numFmtId="177" fontId="0" fillId="7" borderId="9" xfId="0" applyNumberFormat="1" applyFill="1" applyBorder="1" applyAlignment="1">
      <alignment horizontal="center" vertical="center"/>
    </xf>
    <xf numFmtId="177" fontId="0" fillId="3" borderId="22" xfId="0" applyNumberFormat="1" applyFill="1" applyBorder="1" applyAlignment="1">
      <alignment horizontal="center" vertical="center"/>
    </xf>
    <xf numFmtId="177" fontId="0" fillId="3" borderId="10" xfId="0" applyNumberFormat="1" applyFill="1" applyBorder="1" applyAlignment="1">
      <alignment horizontal="center" vertical="center"/>
    </xf>
    <xf numFmtId="177" fontId="0" fillId="6" borderId="21" xfId="0" applyNumberFormat="1" applyFill="1" applyBorder="1" applyAlignment="1">
      <alignment horizontal="center" vertical="center"/>
    </xf>
    <xf numFmtId="177" fontId="0" fillId="6" borderId="25" xfId="0" applyNumberFormat="1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180" fontId="0" fillId="4" borderId="1" xfId="0" applyNumberForma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81" fontId="0" fillId="4" borderId="1" xfId="0" applyNumberFormat="1" applyFill="1" applyBorder="1" applyAlignment="1">
      <alignment horizontal="center" vertical="center" wrapText="1"/>
    </xf>
    <xf numFmtId="181" fontId="0" fillId="4" borderId="1" xfId="0" applyNumberForma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 wrapText="1"/>
    </xf>
    <xf numFmtId="181" fontId="0" fillId="10" borderId="26" xfId="0" applyNumberFormat="1" applyFill="1" applyBorder="1" applyAlignment="1">
      <alignment horizontal="center" vertical="center" wrapText="1"/>
    </xf>
    <xf numFmtId="181" fontId="0" fillId="10" borderId="17" xfId="0" applyNumberFormat="1" applyFill="1" applyBorder="1" applyAlignment="1">
      <alignment horizontal="center" vertical="center" wrapText="1"/>
    </xf>
    <xf numFmtId="0" fontId="0" fillId="10" borderId="22" xfId="0" applyFill="1" applyBorder="1" applyAlignment="1">
      <alignment horizontal="center" vertical="center" wrapText="1"/>
    </xf>
    <xf numFmtId="0" fontId="0" fillId="10" borderId="27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5" fillId="0" borderId="3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5" fillId="0" borderId="31" xfId="0" applyFont="1" applyBorder="1" applyAlignment="1">
      <alignment horizontal="center" vertical="top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 shrinkToFit="1"/>
    </xf>
    <xf numFmtId="178" fontId="0" fillId="0" borderId="0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0</xdr:row>
          <xdr:rowOff>30480</xdr:rowOff>
        </xdr:from>
        <xdr:to>
          <xdr:col>5</xdr:col>
          <xdr:colOff>304800</xdr:colOff>
          <xdr:row>1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3</xdr:row>
          <xdr:rowOff>68580</xdr:rowOff>
        </xdr:from>
        <xdr:to>
          <xdr:col>12</xdr:col>
          <xdr:colOff>274320</xdr:colOff>
          <xdr:row>5</xdr:row>
          <xdr:rowOff>45720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388620</xdr:colOff>
          <xdr:row>3</xdr:row>
          <xdr:rowOff>68580</xdr:rowOff>
        </xdr:from>
        <xdr:to>
          <xdr:col>13</xdr:col>
          <xdr:colOff>563880</xdr:colOff>
          <xdr:row>5</xdr:row>
          <xdr:rowOff>45720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91440</xdr:colOff>
          <xdr:row>0</xdr:row>
          <xdr:rowOff>91440</xdr:rowOff>
        </xdr:from>
        <xdr:to>
          <xdr:col>15</xdr:col>
          <xdr:colOff>91440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並替・数式設定実行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1935480</xdr:colOff>
          <xdr:row>0</xdr:row>
          <xdr:rowOff>297180</xdr:rowOff>
        </xdr:from>
        <xdr:to>
          <xdr:col>6</xdr:col>
          <xdr:colOff>2804160</xdr:colOff>
          <xdr:row>2</xdr:row>
          <xdr:rowOff>68580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勤務日取得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38100</xdr:rowOff>
        </xdr:from>
        <xdr:to>
          <xdr:col>8</xdr:col>
          <xdr:colOff>937260</xdr:colOff>
          <xdr:row>1</xdr:row>
          <xdr:rowOff>182880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特別日集計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70"/>
  <sheetViews>
    <sheetView showGridLines="0" showZero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2" sqref="A2"/>
    </sheetView>
  </sheetViews>
  <sheetFormatPr defaultColWidth="9" defaultRowHeight="18"/>
  <cols>
    <col min="1" max="1" width="12.8984375" bestFit="1" customWidth="1"/>
    <col min="2" max="10" width="9" style="14"/>
    <col min="11" max="11" width="9" style="15"/>
  </cols>
  <sheetData>
    <row r="1" spans="1:11">
      <c r="A1" s="13" t="s">
        <v>8</v>
      </c>
      <c r="B1" s="81" t="s">
        <v>0</v>
      </c>
      <c r="C1" s="82"/>
      <c r="D1" s="83"/>
      <c r="I1" s="15"/>
      <c r="J1" s="15"/>
      <c r="K1"/>
    </row>
    <row r="2" spans="1:11" ht="18.600000000000001" thickBot="1">
      <c r="A2" s="29">
        <v>44927</v>
      </c>
      <c r="B2" s="78" t="s">
        <v>71</v>
      </c>
      <c r="C2" s="79"/>
      <c r="D2" s="80"/>
      <c r="E2" s="16"/>
      <c r="F2" s="16"/>
      <c r="I2" s="15"/>
      <c r="J2" s="15"/>
      <c r="K2"/>
    </row>
    <row r="3" spans="1:11" ht="18.600000000000001" thickBot="1">
      <c r="A3" s="17"/>
    </row>
    <row r="4" spans="1:11">
      <c r="A4" s="87" t="s">
        <v>1</v>
      </c>
      <c r="B4" s="96" t="s">
        <v>2</v>
      </c>
      <c r="C4" s="97"/>
      <c r="D4" s="97"/>
      <c r="E4" s="97"/>
      <c r="F4" s="98"/>
      <c r="G4" s="101" t="s">
        <v>3</v>
      </c>
      <c r="H4" s="102"/>
      <c r="I4" s="102"/>
      <c r="J4" s="102"/>
      <c r="K4" s="84" t="s">
        <v>7</v>
      </c>
    </row>
    <row r="5" spans="1:11">
      <c r="A5" s="88"/>
      <c r="B5" s="90" t="s">
        <v>4</v>
      </c>
      <c r="C5" s="92" t="s">
        <v>5</v>
      </c>
      <c r="D5" s="92" t="s">
        <v>6</v>
      </c>
      <c r="E5" s="99" t="s">
        <v>17</v>
      </c>
      <c r="F5" s="100"/>
      <c r="G5" s="94" t="s">
        <v>4</v>
      </c>
      <c r="H5" s="94" t="s">
        <v>5</v>
      </c>
      <c r="I5" s="94" t="s">
        <v>6</v>
      </c>
      <c r="J5" s="18" t="s">
        <v>17</v>
      </c>
      <c r="K5" s="85"/>
    </row>
    <row r="6" spans="1:11" ht="18.600000000000001" thickBot="1">
      <c r="A6" s="89"/>
      <c r="B6" s="91"/>
      <c r="C6" s="93"/>
      <c r="D6" s="93"/>
      <c r="E6" s="19" t="s">
        <v>18</v>
      </c>
      <c r="F6" s="19" t="s">
        <v>19</v>
      </c>
      <c r="G6" s="95"/>
      <c r="H6" s="95"/>
      <c r="I6" s="95"/>
      <c r="J6" s="20" t="s">
        <v>18</v>
      </c>
      <c r="K6" s="86"/>
    </row>
    <row r="7" spans="1:11">
      <c r="A7" s="21">
        <f>IF(例月区分="","",DATE(YEAR(例月区分),MONTH(例月区分),1))</f>
        <v>44927</v>
      </c>
      <c r="B7" s="10"/>
      <c r="C7" s="11"/>
      <c r="D7" s="11"/>
      <c r="E7" s="22" t="str">
        <f>IF(B7="","",C7-B7-D7)</f>
        <v/>
      </c>
      <c r="F7" s="22">
        <f>MAX(C7-"22:00",0)</f>
        <v>0</v>
      </c>
      <c r="G7" s="11"/>
      <c r="H7" s="11"/>
      <c r="I7" s="11"/>
      <c r="J7" s="23" t="str">
        <f>IF(G7="","",H7-G7-I7)</f>
        <v/>
      </c>
      <c r="K7" s="12"/>
    </row>
    <row r="8" spans="1:11">
      <c r="A8" s="24">
        <f t="shared" ref="A8:A37" si="0">IF(例月区分="","",IF(TEXT(A7+1,"ge.m")=TEXT(例月区分,"ge.m"),A7+1,""))</f>
        <v>44928</v>
      </c>
      <c r="B8" s="8"/>
      <c r="C8" s="4"/>
      <c r="D8" s="4"/>
      <c r="E8" s="25" t="str">
        <f t="shared" ref="E8:E37" si="1">IF(B8="","",C8-B8-D8)</f>
        <v/>
      </c>
      <c r="F8" s="25">
        <f t="shared" ref="F8:F37" si="2">MAX(C8-"22:00",0)</f>
        <v>0</v>
      </c>
      <c r="G8" s="4"/>
      <c r="H8" s="4"/>
      <c r="I8" s="4"/>
      <c r="J8" s="18" t="str">
        <f t="shared" ref="J8:J37" si="3">IF(G8="","",H8-G8-I8)</f>
        <v/>
      </c>
      <c r="K8" s="5"/>
    </row>
    <row r="9" spans="1:11">
      <c r="A9" s="24">
        <f t="shared" si="0"/>
        <v>44929</v>
      </c>
      <c r="B9" s="8"/>
      <c r="C9" s="4"/>
      <c r="D9" s="4"/>
      <c r="E9" s="25" t="str">
        <f t="shared" si="1"/>
        <v/>
      </c>
      <c r="F9" s="25">
        <f t="shared" si="2"/>
        <v>0</v>
      </c>
      <c r="G9" s="4"/>
      <c r="H9" s="4"/>
      <c r="I9" s="4"/>
      <c r="J9" s="18" t="str">
        <f t="shared" si="3"/>
        <v/>
      </c>
      <c r="K9" s="5"/>
    </row>
    <row r="10" spans="1:11">
      <c r="A10" s="24">
        <f t="shared" si="0"/>
        <v>44930</v>
      </c>
      <c r="B10" s="8"/>
      <c r="C10" s="4"/>
      <c r="D10" s="4"/>
      <c r="E10" s="25" t="str">
        <f t="shared" si="1"/>
        <v/>
      </c>
      <c r="F10" s="25">
        <f t="shared" si="2"/>
        <v>0</v>
      </c>
      <c r="G10" s="4"/>
      <c r="H10" s="4"/>
      <c r="I10" s="4"/>
      <c r="J10" s="18" t="str">
        <f t="shared" si="3"/>
        <v/>
      </c>
      <c r="K10" s="5"/>
    </row>
    <row r="11" spans="1:11">
      <c r="A11" s="24">
        <f t="shared" si="0"/>
        <v>44931</v>
      </c>
      <c r="B11" s="8"/>
      <c r="C11" s="4"/>
      <c r="D11" s="4"/>
      <c r="E11" s="25" t="str">
        <f t="shared" si="1"/>
        <v/>
      </c>
      <c r="F11" s="25">
        <f t="shared" si="2"/>
        <v>0</v>
      </c>
      <c r="G11" s="4"/>
      <c r="H11" s="4"/>
      <c r="I11" s="4"/>
      <c r="J11" s="18" t="str">
        <f t="shared" si="3"/>
        <v/>
      </c>
      <c r="K11" s="5"/>
    </row>
    <row r="12" spans="1:11">
      <c r="A12" s="24">
        <f t="shared" si="0"/>
        <v>44932</v>
      </c>
      <c r="B12" s="8"/>
      <c r="C12" s="4"/>
      <c r="D12" s="4"/>
      <c r="E12" s="25" t="str">
        <f t="shared" si="1"/>
        <v/>
      </c>
      <c r="F12" s="25">
        <f t="shared" si="2"/>
        <v>0</v>
      </c>
      <c r="G12" s="4"/>
      <c r="H12" s="4"/>
      <c r="I12" s="4"/>
      <c r="J12" s="18" t="str">
        <f t="shared" si="3"/>
        <v/>
      </c>
      <c r="K12" s="5"/>
    </row>
    <row r="13" spans="1:11">
      <c r="A13" s="24">
        <f t="shared" si="0"/>
        <v>44933</v>
      </c>
      <c r="B13" s="8"/>
      <c r="C13" s="4"/>
      <c r="D13" s="4"/>
      <c r="E13" s="25" t="str">
        <f t="shared" si="1"/>
        <v/>
      </c>
      <c r="F13" s="25">
        <f t="shared" si="2"/>
        <v>0</v>
      </c>
      <c r="G13" s="4"/>
      <c r="H13" s="4"/>
      <c r="I13" s="4"/>
      <c r="J13" s="18" t="str">
        <f t="shared" si="3"/>
        <v/>
      </c>
      <c r="K13" s="5"/>
    </row>
    <row r="14" spans="1:11">
      <c r="A14" s="24">
        <f t="shared" si="0"/>
        <v>44934</v>
      </c>
      <c r="B14" s="8"/>
      <c r="C14" s="4"/>
      <c r="D14" s="4"/>
      <c r="E14" s="25" t="str">
        <f t="shared" si="1"/>
        <v/>
      </c>
      <c r="F14" s="25">
        <f t="shared" si="2"/>
        <v>0</v>
      </c>
      <c r="G14" s="4"/>
      <c r="H14" s="4"/>
      <c r="I14" s="4"/>
      <c r="J14" s="18" t="str">
        <f t="shared" si="3"/>
        <v/>
      </c>
      <c r="K14" s="5"/>
    </row>
    <row r="15" spans="1:11">
      <c r="A15" s="24">
        <f t="shared" si="0"/>
        <v>44935</v>
      </c>
      <c r="B15" s="8"/>
      <c r="C15" s="4"/>
      <c r="D15" s="4"/>
      <c r="E15" s="25" t="str">
        <f t="shared" si="1"/>
        <v/>
      </c>
      <c r="F15" s="25">
        <f t="shared" si="2"/>
        <v>0</v>
      </c>
      <c r="G15" s="4"/>
      <c r="H15" s="4"/>
      <c r="I15" s="4"/>
      <c r="J15" s="18" t="str">
        <f t="shared" si="3"/>
        <v/>
      </c>
      <c r="K15" s="5"/>
    </row>
    <row r="16" spans="1:11">
      <c r="A16" s="24">
        <f t="shared" si="0"/>
        <v>44936</v>
      </c>
      <c r="B16" s="8"/>
      <c r="C16" s="4"/>
      <c r="D16" s="4"/>
      <c r="E16" s="25" t="str">
        <f t="shared" si="1"/>
        <v/>
      </c>
      <c r="F16" s="25">
        <f t="shared" si="2"/>
        <v>0</v>
      </c>
      <c r="G16" s="4"/>
      <c r="H16" s="4"/>
      <c r="I16" s="4"/>
      <c r="J16" s="18" t="str">
        <f t="shared" si="3"/>
        <v/>
      </c>
      <c r="K16" s="5"/>
    </row>
    <row r="17" spans="1:11">
      <c r="A17" s="24">
        <f t="shared" si="0"/>
        <v>44937</v>
      </c>
      <c r="B17" s="8"/>
      <c r="C17" s="4"/>
      <c r="D17" s="4"/>
      <c r="E17" s="25" t="str">
        <f t="shared" si="1"/>
        <v/>
      </c>
      <c r="F17" s="25">
        <f t="shared" si="2"/>
        <v>0</v>
      </c>
      <c r="G17" s="4"/>
      <c r="H17" s="4"/>
      <c r="I17" s="4"/>
      <c r="J17" s="18" t="str">
        <f t="shared" si="3"/>
        <v/>
      </c>
      <c r="K17" s="5"/>
    </row>
    <row r="18" spans="1:11">
      <c r="A18" s="24">
        <f t="shared" si="0"/>
        <v>44938</v>
      </c>
      <c r="B18" s="8"/>
      <c r="C18" s="4"/>
      <c r="D18" s="4"/>
      <c r="E18" s="25" t="str">
        <f t="shared" si="1"/>
        <v/>
      </c>
      <c r="F18" s="25">
        <f t="shared" si="2"/>
        <v>0</v>
      </c>
      <c r="G18" s="4"/>
      <c r="H18" s="4"/>
      <c r="I18" s="4"/>
      <c r="J18" s="18" t="str">
        <f t="shared" si="3"/>
        <v/>
      </c>
      <c r="K18" s="5"/>
    </row>
    <row r="19" spans="1:11">
      <c r="A19" s="24">
        <f t="shared" si="0"/>
        <v>44939</v>
      </c>
      <c r="B19" s="8"/>
      <c r="C19" s="4"/>
      <c r="D19" s="4"/>
      <c r="E19" s="25" t="str">
        <f t="shared" si="1"/>
        <v/>
      </c>
      <c r="F19" s="25">
        <f t="shared" si="2"/>
        <v>0</v>
      </c>
      <c r="G19" s="4"/>
      <c r="H19" s="4"/>
      <c r="I19" s="4"/>
      <c r="J19" s="18" t="str">
        <f t="shared" si="3"/>
        <v/>
      </c>
      <c r="K19" s="5"/>
    </row>
    <row r="20" spans="1:11">
      <c r="A20" s="24">
        <f t="shared" si="0"/>
        <v>44940</v>
      </c>
      <c r="B20" s="8"/>
      <c r="C20" s="4"/>
      <c r="D20" s="4"/>
      <c r="E20" s="25" t="str">
        <f t="shared" si="1"/>
        <v/>
      </c>
      <c r="F20" s="25">
        <f t="shared" si="2"/>
        <v>0</v>
      </c>
      <c r="G20" s="4"/>
      <c r="H20" s="4"/>
      <c r="I20" s="4"/>
      <c r="J20" s="18" t="str">
        <f t="shared" si="3"/>
        <v/>
      </c>
      <c r="K20" s="5"/>
    </row>
    <row r="21" spans="1:11">
      <c r="A21" s="24">
        <f t="shared" si="0"/>
        <v>44941</v>
      </c>
      <c r="B21" s="8"/>
      <c r="C21" s="4"/>
      <c r="D21" s="4"/>
      <c r="E21" s="25" t="str">
        <f t="shared" si="1"/>
        <v/>
      </c>
      <c r="F21" s="25">
        <f t="shared" si="2"/>
        <v>0</v>
      </c>
      <c r="G21" s="4"/>
      <c r="H21" s="4"/>
      <c r="I21" s="4"/>
      <c r="J21" s="18" t="str">
        <f t="shared" si="3"/>
        <v/>
      </c>
      <c r="K21" s="5"/>
    </row>
    <row r="22" spans="1:11">
      <c r="A22" s="24">
        <f t="shared" si="0"/>
        <v>44942</v>
      </c>
      <c r="B22" s="8"/>
      <c r="C22" s="4"/>
      <c r="D22" s="4"/>
      <c r="E22" s="25" t="str">
        <f t="shared" si="1"/>
        <v/>
      </c>
      <c r="F22" s="25">
        <f t="shared" si="2"/>
        <v>0</v>
      </c>
      <c r="G22" s="4"/>
      <c r="H22" s="4"/>
      <c r="I22" s="4"/>
      <c r="J22" s="18" t="str">
        <f t="shared" si="3"/>
        <v/>
      </c>
      <c r="K22" s="5"/>
    </row>
    <row r="23" spans="1:11">
      <c r="A23" s="24">
        <f t="shared" si="0"/>
        <v>44943</v>
      </c>
      <c r="B23" s="8"/>
      <c r="C23" s="4"/>
      <c r="D23" s="4"/>
      <c r="E23" s="25" t="str">
        <f t="shared" si="1"/>
        <v/>
      </c>
      <c r="F23" s="25">
        <f t="shared" si="2"/>
        <v>0</v>
      </c>
      <c r="G23" s="4"/>
      <c r="H23" s="4"/>
      <c r="I23" s="4"/>
      <c r="J23" s="18" t="str">
        <f t="shared" si="3"/>
        <v/>
      </c>
      <c r="K23" s="5"/>
    </row>
    <row r="24" spans="1:11">
      <c r="A24" s="24">
        <f t="shared" si="0"/>
        <v>44944</v>
      </c>
      <c r="B24" s="8"/>
      <c r="C24" s="4"/>
      <c r="D24" s="4"/>
      <c r="E24" s="25" t="str">
        <f t="shared" si="1"/>
        <v/>
      </c>
      <c r="F24" s="25">
        <f t="shared" si="2"/>
        <v>0</v>
      </c>
      <c r="G24" s="4"/>
      <c r="H24" s="4"/>
      <c r="I24" s="4"/>
      <c r="J24" s="18" t="str">
        <f t="shared" si="3"/>
        <v/>
      </c>
      <c r="K24" s="5"/>
    </row>
    <row r="25" spans="1:11">
      <c r="A25" s="24">
        <f t="shared" si="0"/>
        <v>44945</v>
      </c>
      <c r="B25" s="8"/>
      <c r="C25" s="4"/>
      <c r="D25" s="4"/>
      <c r="E25" s="25" t="str">
        <f t="shared" si="1"/>
        <v/>
      </c>
      <c r="F25" s="25">
        <f t="shared" si="2"/>
        <v>0</v>
      </c>
      <c r="G25" s="4"/>
      <c r="H25" s="4"/>
      <c r="I25" s="4"/>
      <c r="J25" s="18" t="str">
        <f t="shared" si="3"/>
        <v/>
      </c>
      <c r="K25" s="5"/>
    </row>
    <row r="26" spans="1:11">
      <c r="A26" s="24">
        <f t="shared" si="0"/>
        <v>44946</v>
      </c>
      <c r="B26" s="8"/>
      <c r="C26" s="4"/>
      <c r="D26" s="4"/>
      <c r="E26" s="25" t="str">
        <f t="shared" si="1"/>
        <v/>
      </c>
      <c r="F26" s="25">
        <f t="shared" si="2"/>
        <v>0</v>
      </c>
      <c r="G26" s="4"/>
      <c r="H26" s="4"/>
      <c r="I26" s="4"/>
      <c r="J26" s="18" t="str">
        <f t="shared" si="3"/>
        <v/>
      </c>
      <c r="K26" s="5"/>
    </row>
    <row r="27" spans="1:11">
      <c r="A27" s="24">
        <f t="shared" si="0"/>
        <v>44947</v>
      </c>
      <c r="B27" s="8"/>
      <c r="C27" s="4"/>
      <c r="D27" s="4"/>
      <c r="E27" s="25" t="str">
        <f t="shared" si="1"/>
        <v/>
      </c>
      <c r="F27" s="25">
        <f t="shared" si="2"/>
        <v>0</v>
      </c>
      <c r="G27" s="4"/>
      <c r="H27" s="4"/>
      <c r="I27" s="4"/>
      <c r="J27" s="18" t="str">
        <f t="shared" si="3"/>
        <v/>
      </c>
      <c r="K27" s="5"/>
    </row>
    <row r="28" spans="1:11">
      <c r="A28" s="24">
        <f t="shared" si="0"/>
        <v>44948</v>
      </c>
      <c r="B28" s="8"/>
      <c r="C28" s="4"/>
      <c r="D28" s="4"/>
      <c r="E28" s="25" t="str">
        <f t="shared" si="1"/>
        <v/>
      </c>
      <c r="F28" s="25">
        <f t="shared" si="2"/>
        <v>0</v>
      </c>
      <c r="G28" s="4"/>
      <c r="H28" s="4"/>
      <c r="I28" s="4"/>
      <c r="J28" s="18" t="str">
        <f t="shared" si="3"/>
        <v/>
      </c>
      <c r="K28" s="5"/>
    </row>
    <row r="29" spans="1:11">
      <c r="A29" s="24">
        <f t="shared" si="0"/>
        <v>44949</v>
      </c>
      <c r="B29" s="8"/>
      <c r="C29" s="4"/>
      <c r="D29" s="4"/>
      <c r="E29" s="25" t="str">
        <f t="shared" si="1"/>
        <v/>
      </c>
      <c r="F29" s="25">
        <f t="shared" si="2"/>
        <v>0</v>
      </c>
      <c r="G29" s="4"/>
      <c r="H29" s="4"/>
      <c r="I29" s="4"/>
      <c r="J29" s="18" t="str">
        <f t="shared" si="3"/>
        <v/>
      </c>
      <c r="K29" s="5"/>
    </row>
    <row r="30" spans="1:11">
      <c r="A30" s="24">
        <f t="shared" si="0"/>
        <v>44950</v>
      </c>
      <c r="B30" s="8"/>
      <c r="C30" s="4"/>
      <c r="D30" s="4"/>
      <c r="E30" s="25" t="str">
        <f t="shared" si="1"/>
        <v/>
      </c>
      <c r="F30" s="25">
        <f t="shared" si="2"/>
        <v>0</v>
      </c>
      <c r="G30" s="4"/>
      <c r="H30" s="4"/>
      <c r="I30" s="4"/>
      <c r="J30" s="18" t="str">
        <f t="shared" si="3"/>
        <v/>
      </c>
      <c r="K30" s="5"/>
    </row>
    <row r="31" spans="1:11">
      <c r="A31" s="24">
        <f t="shared" si="0"/>
        <v>44951</v>
      </c>
      <c r="B31" s="8"/>
      <c r="C31" s="4"/>
      <c r="D31" s="4"/>
      <c r="E31" s="25" t="str">
        <f t="shared" si="1"/>
        <v/>
      </c>
      <c r="F31" s="25">
        <f t="shared" si="2"/>
        <v>0</v>
      </c>
      <c r="G31" s="4"/>
      <c r="H31" s="4"/>
      <c r="I31" s="4"/>
      <c r="J31" s="18" t="str">
        <f t="shared" si="3"/>
        <v/>
      </c>
      <c r="K31" s="5"/>
    </row>
    <row r="32" spans="1:11">
      <c r="A32" s="24">
        <f t="shared" si="0"/>
        <v>44952</v>
      </c>
      <c r="B32" s="8"/>
      <c r="C32" s="4"/>
      <c r="D32" s="4"/>
      <c r="E32" s="25" t="str">
        <f t="shared" si="1"/>
        <v/>
      </c>
      <c r="F32" s="25">
        <f t="shared" si="2"/>
        <v>0</v>
      </c>
      <c r="G32" s="4"/>
      <c r="H32" s="4"/>
      <c r="I32" s="4"/>
      <c r="J32" s="18" t="str">
        <f t="shared" si="3"/>
        <v/>
      </c>
      <c r="K32" s="5"/>
    </row>
    <row r="33" spans="1:11">
      <c r="A33" s="24">
        <f t="shared" si="0"/>
        <v>44953</v>
      </c>
      <c r="B33" s="8"/>
      <c r="C33" s="4"/>
      <c r="D33" s="4"/>
      <c r="E33" s="25" t="str">
        <f t="shared" si="1"/>
        <v/>
      </c>
      <c r="F33" s="25">
        <f t="shared" si="2"/>
        <v>0</v>
      </c>
      <c r="G33" s="4"/>
      <c r="H33" s="4"/>
      <c r="I33" s="4"/>
      <c r="J33" s="18" t="str">
        <f t="shared" si="3"/>
        <v/>
      </c>
      <c r="K33" s="5"/>
    </row>
    <row r="34" spans="1:11">
      <c r="A34" s="24">
        <f t="shared" si="0"/>
        <v>44954</v>
      </c>
      <c r="B34" s="8"/>
      <c r="C34" s="4"/>
      <c r="D34" s="4"/>
      <c r="E34" s="25" t="str">
        <f t="shared" si="1"/>
        <v/>
      </c>
      <c r="F34" s="25">
        <f t="shared" si="2"/>
        <v>0</v>
      </c>
      <c r="G34" s="4"/>
      <c r="H34" s="4"/>
      <c r="I34" s="4"/>
      <c r="J34" s="18" t="str">
        <f t="shared" si="3"/>
        <v/>
      </c>
      <c r="K34" s="5"/>
    </row>
    <row r="35" spans="1:11">
      <c r="A35" s="24">
        <f t="shared" si="0"/>
        <v>44955</v>
      </c>
      <c r="B35" s="8"/>
      <c r="C35" s="4"/>
      <c r="D35" s="4"/>
      <c r="E35" s="25" t="str">
        <f t="shared" si="1"/>
        <v/>
      </c>
      <c r="F35" s="25">
        <f t="shared" si="2"/>
        <v>0</v>
      </c>
      <c r="G35" s="4"/>
      <c r="H35" s="4"/>
      <c r="I35" s="4"/>
      <c r="J35" s="18" t="str">
        <f t="shared" si="3"/>
        <v/>
      </c>
      <c r="K35" s="5"/>
    </row>
    <row r="36" spans="1:11">
      <c r="A36" s="24">
        <f t="shared" si="0"/>
        <v>44956</v>
      </c>
      <c r="B36" s="8"/>
      <c r="C36" s="4"/>
      <c r="D36" s="4"/>
      <c r="E36" s="25" t="str">
        <f t="shared" si="1"/>
        <v/>
      </c>
      <c r="F36" s="25">
        <f t="shared" si="2"/>
        <v>0</v>
      </c>
      <c r="G36" s="4"/>
      <c r="H36" s="4"/>
      <c r="I36" s="4"/>
      <c r="J36" s="18" t="str">
        <f t="shared" si="3"/>
        <v/>
      </c>
      <c r="K36" s="5"/>
    </row>
    <row r="37" spans="1:11" ht="18.600000000000001" thickBot="1">
      <c r="A37" s="26">
        <f t="shared" si="0"/>
        <v>44957</v>
      </c>
      <c r="B37" s="9"/>
      <c r="C37" s="6"/>
      <c r="D37" s="6"/>
      <c r="E37" s="19" t="str">
        <f t="shared" si="1"/>
        <v/>
      </c>
      <c r="F37" s="19">
        <f t="shared" si="2"/>
        <v>0</v>
      </c>
      <c r="G37" s="6"/>
      <c r="H37" s="6"/>
      <c r="I37" s="6"/>
      <c r="J37" s="20" t="str">
        <f t="shared" si="3"/>
        <v/>
      </c>
      <c r="K37" s="7"/>
    </row>
    <row r="38" spans="1:11">
      <c r="A38" s="27"/>
    </row>
    <row r="39" spans="1:11">
      <c r="A39" s="27"/>
    </row>
    <row r="40" spans="1:11">
      <c r="A40" s="27"/>
    </row>
    <row r="41" spans="1:11">
      <c r="A41" s="27"/>
    </row>
    <row r="42" spans="1:11">
      <c r="A42" s="27"/>
    </row>
    <row r="43" spans="1:11">
      <c r="A43" s="27"/>
    </row>
    <row r="44" spans="1:11">
      <c r="A44" s="27"/>
    </row>
    <row r="45" spans="1:11">
      <c r="A45" s="27"/>
    </row>
    <row r="46" spans="1:11">
      <c r="A46" s="27"/>
    </row>
    <row r="47" spans="1:11">
      <c r="A47" s="27"/>
    </row>
    <row r="48" spans="1:11">
      <c r="A48" s="27"/>
    </row>
    <row r="49" spans="1:1">
      <c r="A49" s="27"/>
    </row>
    <row r="50" spans="1:1">
      <c r="A50" s="27"/>
    </row>
    <row r="51" spans="1:1">
      <c r="A51" s="27"/>
    </row>
    <row r="52" spans="1:1">
      <c r="A52" s="27"/>
    </row>
    <row r="53" spans="1:1">
      <c r="A53" s="27"/>
    </row>
    <row r="54" spans="1:1">
      <c r="A54" s="27"/>
    </row>
    <row r="55" spans="1:1">
      <c r="A55" s="27"/>
    </row>
    <row r="56" spans="1:1">
      <c r="A56" s="27"/>
    </row>
    <row r="57" spans="1:1">
      <c r="A57" s="27"/>
    </row>
    <row r="58" spans="1:1">
      <c r="A58" s="27"/>
    </row>
    <row r="59" spans="1:1">
      <c r="A59" s="27"/>
    </row>
    <row r="60" spans="1:1">
      <c r="A60" s="27"/>
    </row>
    <row r="61" spans="1:1">
      <c r="A61" s="27"/>
    </row>
    <row r="62" spans="1:1">
      <c r="A62" s="27"/>
    </row>
    <row r="63" spans="1:1">
      <c r="A63" s="27"/>
    </row>
    <row r="64" spans="1:1">
      <c r="A64" s="27"/>
    </row>
    <row r="65" spans="1:1">
      <c r="A65" s="27"/>
    </row>
    <row r="66" spans="1:1">
      <c r="A66" s="27"/>
    </row>
    <row r="67" spans="1:1">
      <c r="A67" s="27"/>
    </row>
    <row r="68" spans="1:1">
      <c r="A68" s="27"/>
    </row>
    <row r="69" spans="1:1">
      <c r="A69" s="27"/>
    </row>
    <row r="70" spans="1:1">
      <c r="A70" s="27"/>
    </row>
  </sheetData>
  <sheetProtection sheet="1" objects="1" scenarios="1" selectLockedCells="1"/>
  <mergeCells count="13">
    <mergeCell ref="B2:D2"/>
    <mergeCell ref="B1:D1"/>
    <mergeCell ref="K4:K6"/>
    <mergeCell ref="A4:A6"/>
    <mergeCell ref="B5:B6"/>
    <mergeCell ref="C5:C6"/>
    <mergeCell ref="D5:D6"/>
    <mergeCell ref="G5:G6"/>
    <mergeCell ref="H5:H6"/>
    <mergeCell ref="I5:I6"/>
    <mergeCell ref="B4:F4"/>
    <mergeCell ref="E5:F5"/>
    <mergeCell ref="G4:J4"/>
  </mergeCells>
  <phoneticPr fontId="1"/>
  <conditionalFormatting sqref="A7:D37 G7:I37 K7:K37">
    <cfRule type="expression" dxfId="0" priority="1">
      <formula>OR(WEEKDAY($A7)=1,WEEKDAY($A7)=7)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台帳記録">
                <anchor moveWithCells="1" sizeWithCells="1">
                  <from>
                    <xdr:col>4</xdr:col>
                    <xdr:colOff>137160</xdr:colOff>
                    <xdr:row>0</xdr:row>
                    <xdr:rowOff>30480</xdr:rowOff>
                  </from>
                  <to>
                    <xdr:col>5</xdr:col>
                    <xdr:colOff>304800</xdr:colOff>
                    <xdr:row>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個別シフト表クリア">
                <anchor moveWithCells="1" sizeWithCells="1">
                  <from>
                    <xdr:col>11</xdr:col>
                    <xdr:colOff>106680</xdr:colOff>
                    <xdr:row>3</xdr:row>
                    <xdr:rowOff>68580</xdr:rowOff>
                  </from>
                  <to>
                    <xdr:col>12</xdr:col>
                    <xdr:colOff>274320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保護切替">
                <anchor moveWithCells="1" sizeWithCells="1">
                  <from>
                    <xdr:col>12</xdr:col>
                    <xdr:colOff>388620</xdr:colOff>
                    <xdr:row>3</xdr:row>
                    <xdr:rowOff>68580</xdr:rowOff>
                  </from>
                  <to>
                    <xdr:col>13</xdr:col>
                    <xdr:colOff>563880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xr:uid="{00000000-0002-0000-0000-000000000000}">
          <x14:formula1>
            <xm:f>給与集計!$D$5:$D$90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"/>
  <sheetViews>
    <sheetView workbookViewId="0">
      <pane ySplit="1" topLeftCell="A2" activePane="bottomLeft" state="frozen"/>
      <selection pane="bottomLeft" activeCell="A2" sqref="A2"/>
    </sheetView>
  </sheetViews>
  <sheetFormatPr defaultColWidth="9" defaultRowHeight="18"/>
  <cols>
    <col min="1" max="1" width="15.09765625" style="130" bestFit="1" customWidth="1"/>
    <col min="2" max="2" width="8.69921875" style="131" bestFit="1" customWidth="1"/>
    <col min="3" max="8" width="9" style="132"/>
    <col min="9" max="9" width="9" style="129"/>
    <col min="10" max="10" width="9" style="133"/>
    <col min="11" max="13" width="16.5" style="128" bestFit="1" customWidth="1"/>
    <col min="14" max="16384" width="9" style="129"/>
  </cols>
  <sheetData>
    <row r="1" spans="1:13" ht="36.6" customHeight="1">
      <c r="A1" s="76" t="s">
        <v>9</v>
      </c>
      <c r="B1" s="32" t="s">
        <v>16</v>
      </c>
      <c r="C1" s="32" t="s">
        <v>10</v>
      </c>
      <c r="D1" s="32" t="s">
        <v>11</v>
      </c>
      <c r="E1" s="32" t="s">
        <v>12</v>
      </c>
      <c r="F1" s="32" t="s">
        <v>13</v>
      </c>
      <c r="G1" s="32" t="s">
        <v>14</v>
      </c>
      <c r="H1" s="32" t="s">
        <v>15</v>
      </c>
      <c r="I1" s="32" t="s">
        <v>20</v>
      </c>
      <c r="J1" s="52" t="s">
        <v>48</v>
      </c>
      <c r="K1" s="46" t="s">
        <v>49</v>
      </c>
      <c r="L1" s="46" t="s">
        <v>50</v>
      </c>
      <c r="M1" s="46" t="s">
        <v>51</v>
      </c>
    </row>
    <row r="2" spans="1:13">
      <c r="A2" s="28"/>
      <c r="B2" s="3"/>
      <c r="C2" s="2"/>
      <c r="D2" s="2"/>
      <c r="E2" s="2"/>
      <c r="F2" s="2"/>
      <c r="G2" s="2"/>
      <c r="H2" s="2"/>
      <c r="I2" s="1"/>
      <c r="J2" s="47" t="str">
        <f>IF(B2="","-",DATE(YEAR(B2),MONTH(B2),1))</f>
        <v>-</v>
      </c>
      <c r="K2" s="53">
        <f>D2-C2-E2</f>
        <v>0</v>
      </c>
      <c r="L2" s="53">
        <f>MAX(0,D2-TIME(22,0,0))</f>
        <v>0</v>
      </c>
      <c r="M2" s="53">
        <f>G2-F2-H2</f>
        <v>0</v>
      </c>
    </row>
    <row r="3" spans="1:13">
      <c r="A3" s="28"/>
      <c r="B3" s="3"/>
      <c r="C3" s="2"/>
      <c r="D3" s="2"/>
      <c r="E3" s="2"/>
      <c r="F3" s="2"/>
      <c r="G3" s="2"/>
      <c r="H3" s="2"/>
      <c r="I3" s="1"/>
      <c r="J3" s="47"/>
      <c r="K3" s="53"/>
      <c r="L3" s="53"/>
      <c r="M3" s="53"/>
    </row>
  </sheetData>
  <sortState xmlns:xlrd2="http://schemas.microsoft.com/office/spreadsheetml/2017/richdata2" ref="A2:M3">
    <sortCondition ref="A1"/>
    <sortCondition ref="B1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台帳並替">
                <anchor moveWithCells="1" sizeWithCells="1">
                  <from>
                    <xdr:col>13</xdr:col>
                    <xdr:colOff>91440</xdr:colOff>
                    <xdr:row>0</xdr:row>
                    <xdr:rowOff>91440</xdr:rowOff>
                  </from>
                  <to>
                    <xdr:col>15</xdr:col>
                    <xdr:colOff>91440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B91"/>
  <sheetViews>
    <sheetView showGridLines="0" showZeros="0" workbookViewId="0">
      <pane xSplit="4" ySplit="4" topLeftCell="E5" activePane="bottomRight" state="frozen"/>
      <selection activeCell="G19" sqref="G19"/>
      <selection pane="topRight" activeCell="G19" sqref="G19"/>
      <selection pane="bottomLeft" activeCell="G19" sqref="G19"/>
      <selection pane="bottomRight" activeCell="A5" sqref="A5"/>
    </sheetView>
  </sheetViews>
  <sheetFormatPr defaultRowHeight="18" outlineLevelCol="1"/>
  <cols>
    <col min="1" max="1" width="10" style="15" customWidth="1"/>
    <col min="2" max="2" width="7.5" style="35" bestFit="1" customWidth="1"/>
    <col min="3" max="3" width="9" style="35"/>
    <col min="4" max="4" width="15.09765625" style="31" bestFit="1" customWidth="1"/>
    <col min="5" max="5" width="5.19921875" style="15" bestFit="1" customWidth="1"/>
    <col min="6" max="6" width="7.5" style="36" bestFit="1" customWidth="1"/>
    <col min="7" max="8" width="7.59765625" style="38" customWidth="1"/>
    <col min="9" max="9" width="10.59765625" style="40" customWidth="1"/>
    <col min="10" max="10" width="6.5" style="36" bestFit="1" customWidth="1"/>
    <col min="11" max="12" width="7.59765625" style="38" customWidth="1"/>
    <col min="13" max="13" width="10.59765625" style="40" customWidth="1"/>
    <col min="14" max="14" width="5.19921875" style="15" bestFit="1" customWidth="1"/>
    <col min="15" max="15" width="7.5" style="36" bestFit="1" customWidth="1"/>
    <col min="16" max="17" width="7.59765625" style="38" customWidth="1"/>
    <col min="18" max="18" width="10.59765625" style="40" customWidth="1"/>
    <col min="19" max="19" width="5.19921875" style="15" bestFit="1" customWidth="1"/>
    <col min="20" max="20" width="7.59765625" style="38" customWidth="1"/>
    <col min="21" max="22" width="10.59765625" style="41" customWidth="1"/>
    <col min="23" max="23" width="7.09765625" style="15" bestFit="1" customWidth="1"/>
    <col min="25" max="25" width="16.5" hidden="1" customWidth="1" outlineLevel="1"/>
    <col min="26" max="26" width="3.5" hidden="1" customWidth="1" outlineLevel="1"/>
    <col min="27" max="27" width="15.09765625" hidden="1" customWidth="1" outlineLevel="1"/>
    <col min="28" max="28" width="9" collapsed="1"/>
  </cols>
  <sheetData>
    <row r="1" spans="1:27" ht="18.600000000000001" thickBot="1">
      <c r="A1" s="49" t="s">
        <v>46</v>
      </c>
      <c r="B1" s="48">
        <v>44927</v>
      </c>
      <c r="C1" s="77"/>
    </row>
    <row r="2" spans="1:27" ht="18.75" customHeight="1">
      <c r="A2" s="105" t="s">
        <v>35</v>
      </c>
      <c r="B2" s="105"/>
      <c r="C2" s="106"/>
      <c r="D2" s="106"/>
      <c r="E2" s="108" t="s">
        <v>21</v>
      </c>
      <c r="F2" s="108"/>
      <c r="G2" s="108"/>
      <c r="H2" s="108"/>
      <c r="I2" s="108"/>
      <c r="J2" s="108"/>
      <c r="K2" s="108"/>
      <c r="L2" s="108"/>
      <c r="M2" s="108"/>
      <c r="N2" s="109" t="s">
        <v>22</v>
      </c>
      <c r="O2" s="109"/>
      <c r="P2" s="109"/>
      <c r="Q2" s="109"/>
      <c r="R2" s="109"/>
      <c r="S2" s="118" t="s">
        <v>47</v>
      </c>
      <c r="T2" s="119"/>
      <c r="U2" s="119"/>
      <c r="V2" s="120"/>
      <c r="W2" s="107" t="s">
        <v>23</v>
      </c>
    </row>
    <row r="3" spans="1:27">
      <c r="A3" s="106" t="s">
        <v>32</v>
      </c>
      <c r="B3" s="106" t="s">
        <v>33</v>
      </c>
      <c r="C3" s="106" t="s">
        <v>34</v>
      </c>
      <c r="D3" s="106" t="s">
        <v>37</v>
      </c>
      <c r="E3" s="110" t="s">
        <v>24</v>
      </c>
      <c r="F3" s="108" t="s">
        <v>25</v>
      </c>
      <c r="G3" s="108"/>
      <c r="H3" s="108"/>
      <c r="I3" s="108"/>
      <c r="J3" s="108" t="s">
        <v>26</v>
      </c>
      <c r="K3" s="108"/>
      <c r="L3" s="108"/>
      <c r="M3" s="108"/>
      <c r="N3" s="111" t="s">
        <v>24</v>
      </c>
      <c r="O3" s="104" t="s">
        <v>30</v>
      </c>
      <c r="P3" s="112" t="s">
        <v>27</v>
      </c>
      <c r="Q3" s="112" t="s">
        <v>28</v>
      </c>
      <c r="R3" s="104" t="s">
        <v>29</v>
      </c>
      <c r="S3" s="114" t="s">
        <v>24</v>
      </c>
      <c r="T3" s="116" t="s">
        <v>28</v>
      </c>
      <c r="U3" s="114" t="s">
        <v>52</v>
      </c>
      <c r="V3" s="114" t="s">
        <v>29</v>
      </c>
      <c r="W3" s="107"/>
    </row>
    <row r="4" spans="1:27" ht="36">
      <c r="A4" s="106"/>
      <c r="B4" s="106"/>
      <c r="C4" s="106"/>
      <c r="D4" s="106"/>
      <c r="E4" s="108"/>
      <c r="F4" s="43" t="s">
        <v>30</v>
      </c>
      <c r="G4" s="44" t="s">
        <v>27</v>
      </c>
      <c r="H4" s="44" t="s">
        <v>28</v>
      </c>
      <c r="I4" s="43" t="s">
        <v>31</v>
      </c>
      <c r="J4" s="43" t="s">
        <v>30</v>
      </c>
      <c r="K4" s="44" t="s">
        <v>27</v>
      </c>
      <c r="L4" s="44" t="s">
        <v>28</v>
      </c>
      <c r="M4" s="43" t="s">
        <v>31</v>
      </c>
      <c r="N4" s="109"/>
      <c r="O4" s="104"/>
      <c r="P4" s="113"/>
      <c r="Q4" s="113"/>
      <c r="R4" s="104"/>
      <c r="S4" s="115"/>
      <c r="T4" s="117"/>
      <c r="U4" s="115"/>
      <c r="V4" s="115"/>
      <c r="W4" s="107"/>
    </row>
    <row r="5" spans="1:27">
      <c r="A5" s="32" t="s">
        <v>36</v>
      </c>
      <c r="B5" s="33" t="s">
        <v>157</v>
      </c>
      <c r="C5" s="33" t="s">
        <v>171</v>
      </c>
      <c r="D5" s="30" t="s">
        <v>71</v>
      </c>
      <c r="E5" s="32">
        <f t="shared" ref="E5:E36" ca="1" si="0">COUNTIFS(INDIRECT(台帳_A通常範囲),"&gt;0",INDIRECT(台帳_氏名範囲),$D5,INDIRECT(台帳_例月範囲),台帳_集計月)</f>
        <v>0</v>
      </c>
      <c r="F5" s="37"/>
      <c r="G5" s="39">
        <f t="shared" ref="G5:G36" ca="1" si="1">SUMIFS(INDIRECT(台帳_A通常範囲),INDIRECT(台帳_氏名範囲),$D5,INDIRECT(台帳_例月範囲),台帳_集計月)</f>
        <v>0</v>
      </c>
      <c r="H5" s="39">
        <f ca="1">IF(MINUTE(G5)&lt;30,FLOOR(G5,TIME(1,0,0)),CEILING(G5,TIME(1,0,0)))</f>
        <v>0</v>
      </c>
      <c r="I5" s="50">
        <f ca="1">F5*H5/TIME(1,0,0)</f>
        <v>0</v>
      </c>
      <c r="J5" s="37"/>
      <c r="K5" s="39">
        <f t="shared" ref="K5:K36" ca="1" si="2">SUMIFS(INDIRECT(台帳_A深夜範囲),INDIRECT(台帳_氏名範囲),$D5,INDIRECT(台帳_例月範囲),台帳_集計月)</f>
        <v>0</v>
      </c>
      <c r="L5" s="39">
        <f ca="1">IF(MINUTE(K5)&lt;30,FLOOR(K5,TIME(1,0,0)),CEILING(K5,TIME(1,0,0)))</f>
        <v>0</v>
      </c>
      <c r="M5" s="50">
        <f ca="1">J5*L5/TIME(1,0,0)</f>
        <v>0</v>
      </c>
      <c r="N5" s="32">
        <f t="shared" ref="N5:N36" ca="1" si="3">COUNTIFS(INDIRECT(台帳_B通常範囲),"&gt;0",INDIRECT(台帳_氏名範囲),$D5,INDIRECT(台帳_例月範囲),台帳_集計月)</f>
        <v>0</v>
      </c>
      <c r="O5" s="37"/>
      <c r="P5" s="39">
        <f t="shared" ref="P5:P36" ca="1" si="4">SUMIFS(INDIRECT(台帳_B通常範囲),INDIRECT(台帳_氏名範囲),$D5,INDIRECT(台帳_例月範囲),台帳_集計月)</f>
        <v>0</v>
      </c>
      <c r="Q5" s="39">
        <f ca="1">IF(MINUTE(P5)&lt;30,FLOOR(P5,TIME(1,0,0)),CEILING(P5,TIME(1,0,0)))</f>
        <v>0</v>
      </c>
      <c r="R5" s="51">
        <f ca="1">O5*Q5/TIME(1,0,0)</f>
        <v>0</v>
      </c>
      <c r="S5" s="32">
        <f ca="1">SUM(E5,N5)</f>
        <v>0</v>
      </c>
      <c r="T5" s="39">
        <f ca="1">SUM(H5,Q5)</f>
        <v>0</v>
      </c>
      <c r="U5" s="42">
        <f ca="1">F5*T5/TIME(1,0,0)</f>
        <v>0</v>
      </c>
      <c r="V5" s="54">
        <f ca="1">SUM(U5,M5)</f>
        <v>0</v>
      </c>
      <c r="W5" s="32" t="str">
        <f ca="1">IF(U5=0,"","振込")</f>
        <v/>
      </c>
      <c r="Y5" s="1" t="s">
        <v>38</v>
      </c>
      <c r="Z5" s="1">
        <f>COUNTA(管理台帳!A:A)</f>
        <v>1</v>
      </c>
    </row>
    <row r="6" spans="1:27">
      <c r="A6" s="32" t="s">
        <v>36</v>
      </c>
      <c r="B6" s="33" t="s">
        <v>172</v>
      </c>
      <c r="C6" s="33" t="s">
        <v>174</v>
      </c>
      <c r="D6" s="30" t="s">
        <v>72</v>
      </c>
      <c r="E6" s="32">
        <f t="shared" ca="1" si="0"/>
        <v>0</v>
      </c>
      <c r="F6" s="37"/>
      <c r="G6" s="39">
        <f t="shared" ca="1" si="1"/>
        <v>0</v>
      </c>
      <c r="H6" s="39">
        <f t="shared" ref="H6:H69" ca="1" si="5">IF(MINUTE(G6)&lt;30,FLOOR(G6,TIME(1,0,0)),CEILING(G6,TIME(1,0,0)))</f>
        <v>0</v>
      </c>
      <c r="I6" s="50">
        <f t="shared" ref="I6:I69" ca="1" si="6">F6*H6/TIME(1,0,0)</f>
        <v>0</v>
      </c>
      <c r="J6" s="37"/>
      <c r="K6" s="39">
        <f t="shared" ca="1" si="2"/>
        <v>0</v>
      </c>
      <c r="L6" s="39">
        <f t="shared" ref="L6:L69" ca="1" si="7">IF(MINUTE(K6)&lt;30,FLOOR(K6,TIME(1,0,0)),CEILING(K6,TIME(1,0,0)))</f>
        <v>0</v>
      </c>
      <c r="M6" s="50">
        <f t="shared" ref="M6:M69" ca="1" si="8">J6*L6/TIME(1,0,0)</f>
        <v>0</v>
      </c>
      <c r="N6" s="32">
        <f t="shared" ca="1" si="3"/>
        <v>0</v>
      </c>
      <c r="O6" s="37"/>
      <c r="P6" s="39">
        <f t="shared" ca="1" si="4"/>
        <v>0</v>
      </c>
      <c r="Q6" s="39">
        <f t="shared" ref="Q6:Q69" ca="1" si="9">IF(MINUTE(P6)&lt;30,FLOOR(P6,TIME(1,0,0)),CEILING(P6,TIME(1,0,0)))</f>
        <v>0</v>
      </c>
      <c r="R6" s="51">
        <f t="shared" ref="R6:R69" ca="1" si="10">O6*Q6/TIME(1,0,0)</f>
        <v>0</v>
      </c>
      <c r="S6" s="32">
        <f t="shared" ref="S6:S69" ca="1" si="11">SUM(E6,N6)</f>
        <v>0</v>
      </c>
      <c r="T6" s="39">
        <f t="shared" ref="T6:T69" ca="1" si="12">SUM(H6,Q6)</f>
        <v>0</v>
      </c>
      <c r="U6" s="42">
        <f t="shared" ref="U6:U69" ca="1" si="13">F6*T6/TIME(1,0,0)</f>
        <v>0</v>
      </c>
      <c r="V6" s="54">
        <f t="shared" ref="V6:V69" ca="1" si="14">SUM(U6,M6)</f>
        <v>0</v>
      </c>
      <c r="W6" s="32" t="str">
        <f t="shared" ref="W6:W69" ca="1" si="15">IF(U6=0,"","振込")</f>
        <v/>
      </c>
    </row>
    <row r="7" spans="1:27">
      <c r="A7" s="32" t="s">
        <v>36</v>
      </c>
      <c r="B7" s="33" t="s">
        <v>158</v>
      </c>
      <c r="C7" s="33" t="s">
        <v>173</v>
      </c>
      <c r="D7" s="30" t="s">
        <v>73</v>
      </c>
      <c r="E7" s="32">
        <f t="shared" ca="1" si="0"/>
        <v>0</v>
      </c>
      <c r="F7" s="37"/>
      <c r="G7" s="39">
        <f t="shared" ca="1" si="1"/>
        <v>0</v>
      </c>
      <c r="H7" s="39">
        <f t="shared" ca="1" si="5"/>
        <v>0</v>
      </c>
      <c r="I7" s="50">
        <f t="shared" ca="1" si="6"/>
        <v>0</v>
      </c>
      <c r="J7" s="37"/>
      <c r="K7" s="39">
        <f t="shared" ca="1" si="2"/>
        <v>0</v>
      </c>
      <c r="L7" s="39">
        <f t="shared" ca="1" si="7"/>
        <v>0</v>
      </c>
      <c r="M7" s="50">
        <f t="shared" ca="1" si="8"/>
        <v>0</v>
      </c>
      <c r="N7" s="32">
        <f t="shared" ca="1" si="3"/>
        <v>0</v>
      </c>
      <c r="O7" s="37"/>
      <c r="P7" s="39">
        <f t="shared" ca="1" si="4"/>
        <v>0</v>
      </c>
      <c r="Q7" s="39">
        <f t="shared" ca="1" si="9"/>
        <v>0</v>
      </c>
      <c r="R7" s="51">
        <f t="shared" ca="1" si="10"/>
        <v>0</v>
      </c>
      <c r="S7" s="32">
        <f t="shared" ca="1" si="11"/>
        <v>0</v>
      </c>
      <c r="T7" s="39">
        <f t="shared" ca="1" si="12"/>
        <v>0</v>
      </c>
      <c r="U7" s="42">
        <f t="shared" ca="1" si="13"/>
        <v>0</v>
      </c>
      <c r="V7" s="54">
        <f t="shared" ca="1" si="14"/>
        <v>0</v>
      </c>
      <c r="W7" s="32" t="str">
        <f t="shared" ca="1" si="15"/>
        <v/>
      </c>
      <c r="Y7" s="32" t="s">
        <v>44</v>
      </c>
      <c r="Z7" s="32" t="s">
        <v>42</v>
      </c>
      <c r="AA7" s="32" t="s">
        <v>43</v>
      </c>
    </row>
    <row r="8" spans="1:27">
      <c r="A8" s="32" t="s">
        <v>36</v>
      </c>
      <c r="B8" s="33" t="s">
        <v>159</v>
      </c>
      <c r="C8" s="33" t="s">
        <v>175</v>
      </c>
      <c r="D8" s="30" t="s">
        <v>74</v>
      </c>
      <c r="E8" s="32">
        <f t="shared" ca="1" si="0"/>
        <v>0</v>
      </c>
      <c r="F8" s="37"/>
      <c r="G8" s="39">
        <f t="shared" ca="1" si="1"/>
        <v>0</v>
      </c>
      <c r="H8" s="39">
        <f t="shared" ca="1" si="5"/>
        <v>0</v>
      </c>
      <c r="I8" s="50">
        <f t="shared" ca="1" si="6"/>
        <v>0</v>
      </c>
      <c r="J8" s="37"/>
      <c r="K8" s="39">
        <f t="shared" ca="1" si="2"/>
        <v>0</v>
      </c>
      <c r="L8" s="39">
        <f t="shared" ca="1" si="7"/>
        <v>0</v>
      </c>
      <c r="M8" s="50">
        <f t="shared" ca="1" si="8"/>
        <v>0</v>
      </c>
      <c r="N8" s="32">
        <f t="shared" ca="1" si="3"/>
        <v>0</v>
      </c>
      <c r="O8" s="37"/>
      <c r="P8" s="39">
        <f t="shared" ca="1" si="4"/>
        <v>0</v>
      </c>
      <c r="Q8" s="39">
        <f t="shared" ca="1" si="9"/>
        <v>0</v>
      </c>
      <c r="R8" s="51">
        <f t="shared" ca="1" si="10"/>
        <v>0</v>
      </c>
      <c r="S8" s="32">
        <f t="shared" ca="1" si="11"/>
        <v>0</v>
      </c>
      <c r="T8" s="39">
        <f t="shared" ca="1" si="12"/>
        <v>0</v>
      </c>
      <c r="U8" s="42">
        <f t="shared" ca="1" si="13"/>
        <v>0</v>
      </c>
      <c r="V8" s="54">
        <f t="shared" ca="1" si="14"/>
        <v>0</v>
      </c>
      <c r="W8" s="32" t="str">
        <f t="shared" ca="1" si="15"/>
        <v/>
      </c>
      <c r="Y8" s="34" t="s">
        <v>37</v>
      </c>
      <c r="Z8" s="1">
        <f>COLUMN(管理台帳!A:A)</f>
        <v>1</v>
      </c>
      <c r="AA8" s="1" t="str">
        <f t="shared" ref="AA8:AA9" si="16">ADDRESS(2,Z8,4,,"管理台帳")&amp;":"&amp;ADDRESS($Z$5,Z8,4)</f>
        <v>管理台帳!A2:A1</v>
      </c>
    </row>
    <row r="9" spans="1:27">
      <c r="A9" s="32" t="s">
        <v>36</v>
      </c>
      <c r="B9" s="33" t="s">
        <v>160</v>
      </c>
      <c r="C9" s="33" t="s">
        <v>176</v>
      </c>
      <c r="D9" s="30" t="s">
        <v>75</v>
      </c>
      <c r="E9" s="32">
        <f t="shared" ca="1" si="0"/>
        <v>0</v>
      </c>
      <c r="F9" s="37"/>
      <c r="G9" s="39">
        <f t="shared" ca="1" si="1"/>
        <v>0</v>
      </c>
      <c r="H9" s="39">
        <f t="shared" ca="1" si="5"/>
        <v>0</v>
      </c>
      <c r="I9" s="50">
        <f t="shared" ca="1" si="6"/>
        <v>0</v>
      </c>
      <c r="J9" s="37"/>
      <c r="K9" s="39">
        <f t="shared" ca="1" si="2"/>
        <v>0</v>
      </c>
      <c r="L9" s="39">
        <f t="shared" ca="1" si="7"/>
        <v>0</v>
      </c>
      <c r="M9" s="50">
        <f t="shared" ca="1" si="8"/>
        <v>0</v>
      </c>
      <c r="N9" s="32">
        <f t="shared" ca="1" si="3"/>
        <v>0</v>
      </c>
      <c r="O9" s="37"/>
      <c r="P9" s="39">
        <f t="shared" ca="1" si="4"/>
        <v>0</v>
      </c>
      <c r="Q9" s="39">
        <f t="shared" ca="1" si="9"/>
        <v>0</v>
      </c>
      <c r="R9" s="51">
        <f t="shared" ca="1" si="10"/>
        <v>0</v>
      </c>
      <c r="S9" s="32">
        <f t="shared" ca="1" si="11"/>
        <v>0</v>
      </c>
      <c r="T9" s="39">
        <f t="shared" ca="1" si="12"/>
        <v>0</v>
      </c>
      <c r="U9" s="42">
        <f t="shared" ca="1" si="13"/>
        <v>0</v>
      </c>
      <c r="V9" s="54">
        <f t="shared" ca="1" si="14"/>
        <v>0</v>
      </c>
      <c r="W9" s="32" t="str">
        <f t="shared" ca="1" si="15"/>
        <v/>
      </c>
      <c r="Y9" s="34" t="s">
        <v>45</v>
      </c>
      <c r="Z9" s="1">
        <f>COLUMN(管理台帳!J:J)</f>
        <v>10</v>
      </c>
      <c r="AA9" s="1" t="str">
        <f t="shared" si="16"/>
        <v>管理台帳!J2:J1</v>
      </c>
    </row>
    <row r="10" spans="1:27">
      <c r="A10" s="32" t="s">
        <v>36</v>
      </c>
      <c r="B10" s="33" t="s">
        <v>161</v>
      </c>
      <c r="C10" s="33" t="s">
        <v>177</v>
      </c>
      <c r="D10" s="30" t="s">
        <v>76</v>
      </c>
      <c r="E10" s="32">
        <f t="shared" ca="1" si="0"/>
        <v>0</v>
      </c>
      <c r="F10" s="37"/>
      <c r="G10" s="39">
        <f t="shared" ca="1" si="1"/>
        <v>0</v>
      </c>
      <c r="H10" s="39">
        <f t="shared" ca="1" si="5"/>
        <v>0</v>
      </c>
      <c r="I10" s="50">
        <f t="shared" ca="1" si="6"/>
        <v>0</v>
      </c>
      <c r="J10" s="37"/>
      <c r="K10" s="39">
        <f t="shared" ca="1" si="2"/>
        <v>0</v>
      </c>
      <c r="L10" s="39">
        <f t="shared" ca="1" si="7"/>
        <v>0</v>
      </c>
      <c r="M10" s="50">
        <f t="shared" ca="1" si="8"/>
        <v>0</v>
      </c>
      <c r="N10" s="32">
        <f t="shared" ca="1" si="3"/>
        <v>0</v>
      </c>
      <c r="O10" s="37"/>
      <c r="P10" s="39">
        <f t="shared" ca="1" si="4"/>
        <v>0</v>
      </c>
      <c r="Q10" s="39">
        <f t="shared" ca="1" si="9"/>
        <v>0</v>
      </c>
      <c r="R10" s="51">
        <f t="shared" ca="1" si="10"/>
        <v>0</v>
      </c>
      <c r="S10" s="32">
        <f t="shared" ca="1" si="11"/>
        <v>0</v>
      </c>
      <c r="T10" s="39">
        <f t="shared" ca="1" si="12"/>
        <v>0</v>
      </c>
      <c r="U10" s="42">
        <f t="shared" ca="1" si="13"/>
        <v>0</v>
      </c>
      <c r="V10" s="54">
        <f t="shared" ca="1" si="14"/>
        <v>0</v>
      </c>
      <c r="W10" s="32" t="str">
        <f t="shared" ca="1" si="15"/>
        <v/>
      </c>
      <c r="Y10" s="1" t="s">
        <v>39</v>
      </c>
      <c r="Z10" s="1">
        <f>COLUMN(管理台帳!K:K)</f>
        <v>11</v>
      </c>
      <c r="AA10" s="1" t="str">
        <f>ADDRESS(2,Z10,4,,"管理台帳")&amp;":"&amp;ADDRESS($Z$5,Z10,4)</f>
        <v>管理台帳!K2:K1</v>
      </c>
    </row>
    <row r="11" spans="1:27">
      <c r="A11" s="32" t="s">
        <v>36</v>
      </c>
      <c r="B11" s="33" t="s">
        <v>162</v>
      </c>
      <c r="C11" s="33" t="s">
        <v>178</v>
      </c>
      <c r="D11" s="30" t="s">
        <v>77</v>
      </c>
      <c r="E11" s="32">
        <f t="shared" ca="1" si="0"/>
        <v>0</v>
      </c>
      <c r="F11" s="37"/>
      <c r="G11" s="39">
        <f t="shared" ca="1" si="1"/>
        <v>0</v>
      </c>
      <c r="H11" s="39">
        <f t="shared" ca="1" si="5"/>
        <v>0</v>
      </c>
      <c r="I11" s="50">
        <f t="shared" ca="1" si="6"/>
        <v>0</v>
      </c>
      <c r="J11" s="37"/>
      <c r="K11" s="39">
        <f t="shared" ca="1" si="2"/>
        <v>0</v>
      </c>
      <c r="L11" s="39">
        <f t="shared" ca="1" si="7"/>
        <v>0</v>
      </c>
      <c r="M11" s="50">
        <f t="shared" ca="1" si="8"/>
        <v>0</v>
      </c>
      <c r="N11" s="32">
        <f t="shared" ca="1" si="3"/>
        <v>0</v>
      </c>
      <c r="O11" s="37"/>
      <c r="P11" s="39">
        <f t="shared" ca="1" si="4"/>
        <v>0</v>
      </c>
      <c r="Q11" s="39">
        <f t="shared" ca="1" si="9"/>
        <v>0</v>
      </c>
      <c r="R11" s="51">
        <f t="shared" ca="1" si="10"/>
        <v>0</v>
      </c>
      <c r="S11" s="32">
        <f t="shared" ca="1" si="11"/>
        <v>0</v>
      </c>
      <c r="T11" s="39">
        <f t="shared" ca="1" si="12"/>
        <v>0</v>
      </c>
      <c r="U11" s="42">
        <f t="shared" ca="1" si="13"/>
        <v>0</v>
      </c>
      <c r="V11" s="54">
        <f t="shared" ca="1" si="14"/>
        <v>0</v>
      </c>
      <c r="W11" s="32" t="str">
        <f t="shared" ca="1" si="15"/>
        <v/>
      </c>
      <c r="Y11" s="1" t="s">
        <v>40</v>
      </c>
      <c r="Z11" s="1">
        <f>COLUMN(管理台帳!L:L)</f>
        <v>12</v>
      </c>
      <c r="AA11" s="1" t="str">
        <f t="shared" ref="AA11:AA12" si="17">ADDRESS(2,Z11,4,,"管理台帳")&amp;":"&amp;ADDRESS($Z$5,Z11,4)</f>
        <v>管理台帳!L2:L1</v>
      </c>
    </row>
    <row r="12" spans="1:27">
      <c r="A12" s="32" t="s">
        <v>36</v>
      </c>
      <c r="B12" s="33" t="s">
        <v>163</v>
      </c>
      <c r="C12" s="33" t="s">
        <v>179</v>
      </c>
      <c r="D12" s="30" t="s">
        <v>78</v>
      </c>
      <c r="E12" s="32">
        <f t="shared" ca="1" si="0"/>
        <v>0</v>
      </c>
      <c r="F12" s="37"/>
      <c r="G12" s="39">
        <f t="shared" ca="1" si="1"/>
        <v>0</v>
      </c>
      <c r="H12" s="39">
        <f t="shared" ca="1" si="5"/>
        <v>0</v>
      </c>
      <c r="I12" s="50">
        <f t="shared" ca="1" si="6"/>
        <v>0</v>
      </c>
      <c r="J12" s="37"/>
      <c r="K12" s="39">
        <f t="shared" ca="1" si="2"/>
        <v>0</v>
      </c>
      <c r="L12" s="39">
        <f t="shared" ca="1" si="7"/>
        <v>0</v>
      </c>
      <c r="M12" s="50">
        <f t="shared" ca="1" si="8"/>
        <v>0</v>
      </c>
      <c r="N12" s="32">
        <f t="shared" ca="1" si="3"/>
        <v>0</v>
      </c>
      <c r="O12" s="37"/>
      <c r="P12" s="39">
        <f t="shared" ca="1" si="4"/>
        <v>0</v>
      </c>
      <c r="Q12" s="39">
        <f t="shared" ca="1" si="9"/>
        <v>0</v>
      </c>
      <c r="R12" s="51">
        <f t="shared" ca="1" si="10"/>
        <v>0</v>
      </c>
      <c r="S12" s="32">
        <f t="shared" ca="1" si="11"/>
        <v>0</v>
      </c>
      <c r="T12" s="39">
        <f t="shared" ca="1" si="12"/>
        <v>0</v>
      </c>
      <c r="U12" s="42">
        <f t="shared" ca="1" si="13"/>
        <v>0</v>
      </c>
      <c r="V12" s="54">
        <f t="shared" ca="1" si="14"/>
        <v>0</v>
      </c>
      <c r="W12" s="32" t="str">
        <f t="shared" ca="1" si="15"/>
        <v/>
      </c>
      <c r="Y12" s="1" t="s">
        <v>41</v>
      </c>
      <c r="Z12" s="1">
        <f>COLUMN(管理台帳!M:M)</f>
        <v>13</v>
      </c>
      <c r="AA12" s="1" t="str">
        <f t="shared" si="17"/>
        <v>管理台帳!M2:M1</v>
      </c>
    </row>
    <row r="13" spans="1:27">
      <c r="A13" s="32" t="s">
        <v>36</v>
      </c>
      <c r="B13" s="33" t="s">
        <v>164</v>
      </c>
      <c r="C13" s="33" t="s">
        <v>180</v>
      </c>
      <c r="D13" s="30" t="s">
        <v>79</v>
      </c>
      <c r="E13" s="32">
        <f t="shared" ca="1" si="0"/>
        <v>0</v>
      </c>
      <c r="F13" s="37"/>
      <c r="G13" s="39">
        <f t="shared" ca="1" si="1"/>
        <v>0</v>
      </c>
      <c r="H13" s="39">
        <f t="shared" ca="1" si="5"/>
        <v>0</v>
      </c>
      <c r="I13" s="50">
        <f t="shared" ca="1" si="6"/>
        <v>0</v>
      </c>
      <c r="J13" s="37"/>
      <c r="K13" s="39">
        <f t="shared" ca="1" si="2"/>
        <v>0</v>
      </c>
      <c r="L13" s="39">
        <f t="shared" ca="1" si="7"/>
        <v>0</v>
      </c>
      <c r="M13" s="50">
        <f t="shared" ca="1" si="8"/>
        <v>0</v>
      </c>
      <c r="N13" s="32">
        <f t="shared" ca="1" si="3"/>
        <v>0</v>
      </c>
      <c r="O13" s="37"/>
      <c r="P13" s="39">
        <f t="shared" ca="1" si="4"/>
        <v>0</v>
      </c>
      <c r="Q13" s="39">
        <f t="shared" ca="1" si="9"/>
        <v>0</v>
      </c>
      <c r="R13" s="51">
        <f t="shared" ca="1" si="10"/>
        <v>0</v>
      </c>
      <c r="S13" s="32">
        <f t="shared" ca="1" si="11"/>
        <v>0</v>
      </c>
      <c r="T13" s="39">
        <f t="shared" ca="1" si="12"/>
        <v>0</v>
      </c>
      <c r="U13" s="42">
        <f t="shared" ca="1" si="13"/>
        <v>0</v>
      </c>
      <c r="V13" s="54">
        <f t="shared" ca="1" si="14"/>
        <v>0</v>
      </c>
      <c r="W13" s="32" t="str">
        <f t="shared" ca="1" si="15"/>
        <v/>
      </c>
    </row>
    <row r="14" spans="1:27">
      <c r="A14" s="32" t="s">
        <v>36</v>
      </c>
      <c r="B14" s="33" t="s">
        <v>181</v>
      </c>
      <c r="C14" s="33" t="s">
        <v>165</v>
      </c>
      <c r="D14" s="30" t="s">
        <v>80</v>
      </c>
      <c r="E14" s="32">
        <f t="shared" ca="1" si="0"/>
        <v>0</v>
      </c>
      <c r="F14" s="37"/>
      <c r="G14" s="39">
        <f t="shared" ca="1" si="1"/>
        <v>0</v>
      </c>
      <c r="H14" s="39">
        <f t="shared" ca="1" si="5"/>
        <v>0</v>
      </c>
      <c r="I14" s="50">
        <f t="shared" ca="1" si="6"/>
        <v>0</v>
      </c>
      <c r="J14" s="37"/>
      <c r="K14" s="39">
        <f t="shared" ca="1" si="2"/>
        <v>0</v>
      </c>
      <c r="L14" s="39">
        <f t="shared" ca="1" si="7"/>
        <v>0</v>
      </c>
      <c r="M14" s="50">
        <f t="shared" ca="1" si="8"/>
        <v>0</v>
      </c>
      <c r="N14" s="32">
        <f t="shared" ca="1" si="3"/>
        <v>0</v>
      </c>
      <c r="O14" s="37"/>
      <c r="P14" s="39">
        <f t="shared" ca="1" si="4"/>
        <v>0</v>
      </c>
      <c r="Q14" s="39">
        <f t="shared" ca="1" si="9"/>
        <v>0</v>
      </c>
      <c r="R14" s="51">
        <f t="shared" ca="1" si="10"/>
        <v>0</v>
      </c>
      <c r="S14" s="32">
        <f t="shared" ca="1" si="11"/>
        <v>0</v>
      </c>
      <c r="T14" s="39">
        <f t="shared" ca="1" si="12"/>
        <v>0</v>
      </c>
      <c r="U14" s="42">
        <f t="shared" ca="1" si="13"/>
        <v>0</v>
      </c>
      <c r="V14" s="54">
        <f t="shared" ca="1" si="14"/>
        <v>0</v>
      </c>
      <c r="W14" s="32" t="str">
        <f t="shared" ca="1" si="15"/>
        <v/>
      </c>
    </row>
    <row r="15" spans="1:27">
      <c r="A15" s="32" t="s">
        <v>36</v>
      </c>
      <c r="B15" s="33" t="s">
        <v>182</v>
      </c>
      <c r="C15" s="33" t="s">
        <v>166</v>
      </c>
      <c r="D15" s="30" t="s">
        <v>81</v>
      </c>
      <c r="E15" s="32">
        <f t="shared" ca="1" si="0"/>
        <v>0</v>
      </c>
      <c r="F15" s="37"/>
      <c r="G15" s="39">
        <f t="shared" ca="1" si="1"/>
        <v>0</v>
      </c>
      <c r="H15" s="39">
        <f t="shared" ca="1" si="5"/>
        <v>0</v>
      </c>
      <c r="I15" s="50">
        <f t="shared" ca="1" si="6"/>
        <v>0</v>
      </c>
      <c r="J15" s="37"/>
      <c r="K15" s="39">
        <f t="shared" ca="1" si="2"/>
        <v>0</v>
      </c>
      <c r="L15" s="39">
        <f t="shared" ca="1" si="7"/>
        <v>0</v>
      </c>
      <c r="M15" s="50">
        <f t="shared" ca="1" si="8"/>
        <v>0</v>
      </c>
      <c r="N15" s="32">
        <f t="shared" ca="1" si="3"/>
        <v>0</v>
      </c>
      <c r="O15" s="37"/>
      <c r="P15" s="39">
        <f t="shared" ca="1" si="4"/>
        <v>0</v>
      </c>
      <c r="Q15" s="39">
        <f t="shared" ca="1" si="9"/>
        <v>0</v>
      </c>
      <c r="R15" s="51">
        <f t="shared" ca="1" si="10"/>
        <v>0</v>
      </c>
      <c r="S15" s="32">
        <f t="shared" ca="1" si="11"/>
        <v>0</v>
      </c>
      <c r="T15" s="39">
        <f t="shared" ca="1" si="12"/>
        <v>0</v>
      </c>
      <c r="U15" s="42">
        <f t="shared" ca="1" si="13"/>
        <v>0</v>
      </c>
      <c r="V15" s="54">
        <f t="shared" ca="1" si="14"/>
        <v>0</v>
      </c>
      <c r="W15" s="32" t="str">
        <f t="shared" ca="1" si="15"/>
        <v/>
      </c>
    </row>
    <row r="16" spans="1:27">
      <c r="A16" s="32" t="s">
        <v>36</v>
      </c>
      <c r="B16" s="33" t="s">
        <v>183</v>
      </c>
      <c r="C16" s="33" t="s">
        <v>167</v>
      </c>
      <c r="D16" s="30" t="s">
        <v>82</v>
      </c>
      <c r="E16" s="32">
        <f t="shared" ca="1" si="0"/>
        <v>0</v>
      </c>
      <c r="F16" s="37"/>
      <c r="G16" s="39">
        <f t="shared" ca="1" si="1"/>
        <v>0</v>
      </c>
      <c r="H16" s="39">
        <f t="shared" ca="1" si="5"/>
        <v>0</v>
      </c>
      <c r="I16" s="50">
        <f t="shared" ca="1" si="6"/>
        <v>0</v>
      </c>
      <c r="J16" s="37"/>
      <c r="K16" s="39">
        <f t="shared" ca="1" si="2"/>
        <v>0</v>
      </c>
      <c r="L16" s="39">
        <f t="shared" ca="1" si="7"/>
        <v>0</v>
      </c>
      <c r="M16" s="50">
        <f t="shared" ca="1" si="8"/>
        <v>0</v>
      </c>
      <c r="N16" s="32">
        <f t="shared" ca="1" si="3"/>
        <v>0</v>
      </c>
      <c r="O16" s="37"/>
      <c r="P16" s="39">
        <f t="shared" ca="1" si="4"/>
        <v>0</v>
      </c>
      <c r="Q16" s="39">
        <f t="shared" ca="1" si="9"/>
        <v>0</v>
      </c>
      <c r="R16" s="51">
        <f t="shared" ca="1" si="10"/>
        <v>0</v>
      </c>
      <c r="S16" s="32">
        <f t="shared" ca="1" si="11"/>
        <v>0</v>
      </c>
      <c r="T16" s="39">
        <f t="shared" ca="1" si="12"/>
        <v>0</v>
      </c>
      <c r="U16" s="42">
        <f t="shared" ca="1" si="13"/>
        <v>0</v>
      </c>
      <c r="V16" s="54">
        <f t="shared" ca="1" si="14"/>
        <v>0</v>
      </c>
      <c r="W16" s="32" t="str">
        <f t="shared" ca="1" si="15"/>
        <v/>
      </c>
    </row>
    <row r="17" spans="1:23">
      <c r="A17" s="32" t="s">
        <v>36</v>
      </c>
      <c r="B17" s="33" t="s">
        <v>184</v>
      </c>
      <c r="C17" s="33" t="s">
        <v>168</v>
      </c>
      <c r="D17" s="30" t="s">
        <v>83</v>
      </c>
      <c r="E17" s="32">
        <f t="shared" ca="1" si="0"/>
        <v>0</v>
      </c>
      <c r="F17" s="37"/>
      <c r="G17" s="39">
        <f t="shared" ca="1" si="1"/>
        <v>0</v>
      </c>
      <c r="H17" s="39">
        <f t="shared" ca="1" si="5"/>
        <v>0</v>
      </c>
      <c r="I17" s="50">
        <f t="shared" ca="1" si="6"/>
        <v>0</v>
      </c>
      <c r="J17" s="37"/>
      <c r="K17" s="39">
        <f t="shared" ca="1" si="2"/>
        <v>0</v>
      </c>
      <c r="L17" s="39">
        <f t="shared" ca="1" si="7"/>
        <v>0</v>
      </c>
      <c r="M17" s="50">
        <f t="shared" ca="1" si="8"/>
        <v>0</v>
      </c>
      <c r="N17" s="32">
        <f t="shared" ca="1" si="3"/>
        <v>0</v>
      </c>
      <c r="O17" s="37"/>
      <c r="P17" s="39">
        <f t="shared" ca="1" si="4"/>
        <v>0</v>
      </c>
      <c r="Q17" s="39">
        <f t="shared" ca="1" si="9"/>
        <v>0</v>
      </c>
      <c r="R17" s="51">
        <f t="shared" ca="1" si="10"/>
        <v>0</v>
      </c>
      <c r="S17" s="32">
        <f t="shared" ca="1" si="11"/>
        <v>0</v>
      </c>
      <c r="T17" s="39">
        <f t="shared" ca="1" si="12"/>
        <v>0</v>
      </c>
      <c r="U17" s="42">
        <f t="shared" ca="1" si="13"/>
        <v>0</v>
      </c>
      <c r="V17" s="54">
        <f t="shared" ca="1" si="14"/>
        <v>0</v>
      </c>
      <c r="W17" s="32" t="str">
        <f t="shared" ca="1" si="15"/>
        <v/>
      </c>
    </row>
    <row r="18" spans="1:23">
      <c r="A18" s="32" t="s">
        <v>36</v>
      </c>
      <c r="B18" s="33" t="s">
        <v>185</v>
      </c>
      <c r="C18" s="33" t="s">
        <v>169</v>
      </c>
      <c r="D18" s="30" t="s">
        <v>84</v>
      </c>
      <c r="E18" s="32">
        <f t="shared" ca="1" si="0"/>
        <v>0</v>
      </c>
      <c r="F18" s="37"/>
      <c r="G18" s="39">
        <f t="shared" ca="1" si="1"/>
        <v>0</v>
      </c>
      <c r="H18" s="39">
        <f t="shared" ca="1" si="5"/>
        <v>0</v>
      </c>
      <c r="I18" s="50">
        <f t="shared" ca="1" si="6"/>
        <v>0</v>
      </c>
      <c r="J18" s="37"/>
      <c r="K18" s="39">
        <f t="shared" ca="1" si="2"/>
        <v>0</v>
      </c>
      <c r="L18" s="39">
        <f t="shared" ca="1" si="7"/>
        <v>0</v>
      </c>
      <c r="M18" s="50">
        <f t="shared" ca="1" si="8"/>
        <v>0</v>
      </c>
      <c r="N18" s="32">
        <f t="shared" ca="1" si="3"/>
        <v>0</v>
      </c>
      <c r="O18" s="37"/>
      <c r="P18" s="39">
        <f t="shared" ca="1" si="4"/>
        <v>0</v>
      </c>
      <c r="Q18" s="39">
        <f t="shared" ca="1" si="9"/>
        <v>0</v>
      </c>
      <c r="R18" s="51">
        <f t="shared" ca="1" si="10"/>
        <v>0</v>
      </c>
      <c r="S18" s="32">
        <f t="shared" ca="1" si="11"/>
        <v>0</v>
      </c>
      <c r="T18" s="39">
        <f t="shared" ca="1" si="12"/>
        <v>0</v>
      </c>
      <c r="U18" s="42">
        <f t="shared" ca="1" si="13"/>
        <v>0</v>
      </c>
      <c r="V18" s="54">
        <f t="shared" ca="1" si="14"/>
        <v>0</v>
      </c>
      <c r="W18" s="32" t="str">
        <f t="shared" ca="1" si="15"/>
        <v/>
      </c>
    </row>
    <row r="19" spans="1:23">
      <c r="A19" s="32" t="s">
        <v>36</v>
      </c>
      <c r="B19" s="33" t="s">
        <v>186</v>
      </c>
      <c r="C19" s="33" t="s">
        <v>170</v>
      </c>
      <c r="D19" s="30" t="s">
        <v>85</v>
      </c>
      <c r="E19" s="32">
        <f t="shared" ca="1" si="0"/>
        <v>0</v>
      </c>
      <c r="F19" s="37"/>
      <c r="G19" s="39">
        <f t="shared" ca="1" si="1"/>
        <v>0</v>
      </c>
      <c r="H19" s="39">
        <f t="shared" ca="1" si="5"/>
        <v>0</v>
      </c>
      <c r="I19" s="50">
        <f t="shared" ca="1" si="6"/>
        <v>0</v>
      </c>
      <c r="J19" s="37"/>
      <c r="K19" s="39">
        <f t="shared" ca="1" si="2"/>
        <v>0</v>
      </c>
      <c r="L19" s="39">
        <f t="shared" ca="1" si="7"/>
        <v>0</v>
      </c>
      <c r="M19" s="50">
        <f t="shared" ca="1" si="8"/>
        <v>0</v>
      </c>
      <c r="N19" s="32">
        <f t="shared" ca="1" si="3"/>
        <v>0</v>
      </c>
      <c r="O19" s="37"/>
      <c r="P19" s="39">
        <f t="shared" ca="1" si="4"/>
        <v>0</v>
      </c>
      <c r="Q19" s="39">
        <f t="shared" ca="1" si="9"/>
        <v>0</v>
      </c>
      <c r="R19" s="51">
        <f t="shared" ca="1" si="10"/>
        <v>0</v>
      </c>
      <c r="S19" s="32">
        <f t="shared" ca="1" si="11"/>
        <v>0</v>
      </c>
      <c r="T19" s="39">
        <f t="shared" ca="1" si="12"/>
        <v>0</v>
      </c>
      <c r="U19" s="42">
        <f t="shared" ca="1" si="13"/>
        <v>0</v>
      </c>
      <c r="V19" s="54">
        <f t="shared" ca="1" si="14"/>
        <v>0</v>
      </c>
      <c r="W19" s="32" t="str">
        <f t="shared" ca="1" si="15"/>
        <v/>
      </c>
    </row>
    <row r="20" spans="1:23">
      <c r="A20" s="32" t="s">
        <v>36</v>
      </c>
      <c r="B20" s="33" t="s">
        <v>187</v>
      </c>
      <c r="C20" s="33" t="s">
        <v>188</v>
      </c>
      <c r="D20" s="30" t="s">
        <v>86</v>
      </c>
      <c r="E20" s="32">
        <f t="shared" ca="1" si="0"/>
        <v>0</v>
      </c>
      <c r="F20" s="37"/>
      <c r="G20" s="39">
        <f t="shared" ca="1" si="1"/>
        <v>0</v>
      </c>
      <c r="H20" s="39">
        <f t="shared" ca="1" si="5"/>
        <v>0</v>
      </c>
      <c r="I20" s="50">
        <f t="shared" ca="1" si="6"/>
        <v>0</v>
      </c>
      <c r="J20" s="37"/>
      <c r="K20" s="39">
        <f t="shared" ca="1" si="2"/>
        <v>0</v>
      </c>
      <c r="L20" s="39">
        <f t="shared" ca="1" si="7"/>
        <v>0</v>
      </c>
      <c r="M20" s="50">
        <f t="shared" ca="1" si="8"/>
        <v>0</v>
      </c>
      <c r="N20" s="32">
        <f t="shared" ca="1" si="3"/>
        <v>0</v>
      </c>
      <c r="O20" s="37"/>
      <c r="P20" s="39">
        <f t="shared" ca="1" si="4"/>
        <v>0</v>
      </c>
      <c r="Q20" s="39">
        <f t="shared" ca="1" si="9"/>
        <v>0</v>
      </c>
      <c r="R20" s="51">
        <f t="shared" ca="1" si="10"/>
        <v>0</v>
      </c>
      <c r="S20" s="32">
        <f t="shared" ca="1" si="11"/>
        <v>0</v>
      </c>
      <c r="T20" s="39">
        <f t="shared" ca="1" si="12"/>
        <v>0</v>
      </c>
      <c r="U20" s="42">
        <f t="shared" ca="1" si="13"/>
        <v>0</v>
      </c>
      <c r="V20" s="54">
        <f t="shared" ca="1" si="14"/>
        <v>0</v>
      </c>
      <c r="W20" s="32" t="str">
        <f t="shared" ca="1" si="15"/>
        <v/>
      </c>
    </row>
    <row r="21" spans="1:23">
      <c r="A21" s="32" t="s">
        <v>36</v>
      </c>
      <c r="B21" s="33" t="s">
        <v>189</v>
      </c>
      <c r="C21" s="33" t="s">
        <v>190</v>
      </c>
      <c r="D21" s="30" t="s">
        <v>87</v>
      </c>
      <c r="E21" s="32">
        <f t="shared" ca="1" si="0"/>
        <v>0</v>
      </c>
      <c r="F21" s="37"/>
      <c r="G21" s="39">
        <f t="shared" ca="1" si="1"/>
        <v>0</v>
      </c>
      <c r="H21" s="39">
        <f t="shared" ca="1" si="5"/>
        <v>0</v>
      </c>
      <c r="I21" s="50">
        <f t="shared" ca="1" si="6"/>
        <v>0</v>
      </c>
      <c r="J21" s="37"/>
      <c r="K21" s="39">
        <f t="shared" ca="1" si="2"/>
        <v>0</v>
      </c>
      <c r="L21" s="39">
        <f t="shared" ca="1" si="7"/>
        <v>0</v>
      </c>
      <c r="M21" s="50">
        <f t="shared" ca="1" si="8"/>
        <v>0</v>
      </c>
      <c r="N21" s="32">
        <f t="shared" ca="1" si="3"/>
        <v>0</v>
      </c>
      <c r="O21" s="37"/>
      <c r="P21" s="39">
        <f t="shared" ca="1" si="4"/>
        <v>0</v>
      </c>
      <c r="Q21" s="39">
        <f t="shared" ca="1" si="9"/>
        <v>0</v>
      </c>
      <c r="R21" s="51">
        <f t="shared" ca="1" si="10"/>
        <v>0</v>
      </c>
      <c r="S21" s="32">
        <f t="shared" ca="1" si="11"/>
        <v>0</v>
      </c>
      <c r="T21" s="39">
        <f t="shared" ca="1" si="12"/>
        <v>0</v>
      </c>
      <c r="U21" s="42">
        <f t="shared" ca="1" si="13"/>
        <v>0</v>
      </c>
      <c r="V21" s="54">
        <f t="shared" ca="1" si="14"/>
        <v>0</v>
      </c>
      <c r="W21" s="32" t="str">
        <f t="shared" ca="1" si="15"/>
        <v/>
      </c>
    </row>
    <row r="22" spans="1:23">
      <c r="A22" s="32" t="s">
        <v>36</v>
      </c>
      <c r="B22" s="33" t="s">
        <v>191</v>
      </c>
      <c r="C22" s="33" t="s">
        <v>192</v>
      </c>
      <c r="D22" s="30" t="s">
        <v>88</v>
      </c>
      <c r="E22" s="32">
        <f t="shared" ca="1" si="0"/>
        <v>0</v>
      </c>
      <c r="F22" s="37"/>
      <c r="G22" s="39">
        <f t="shared" ca="1" si="1"/>
        <v>0</v>
      </c>
      <c r="H22" s="39">
        <f t="shared" ca="1" si="5"/>
        <v>0</v>
      </c>
      <c r="I22" s="50">
        <f t="shared" ca="1" si="6"/>
        <v>0</v>
      </c>
      <c r="J22" s="37"/>
      <c r="K22" s="39">
        <f t="shared" ca="1" si="2"/>
        <v>0</v>
      </c>
      <c r="L22" s="39">
        <f t="shared" ca="1" si="7"/>
        <v>0</v>
      </c>
      <c r="M22" s="50">
        <f t="shared" ca="1" si="8"/>
        <v>0</v>
      </c>
      <c r="N22" s="32">
        <f t="shared" ca="1" si="3"/>
        <v>0</v>
      </c>
      <c r="O22" s="37"/>
      <c r="P22" s="39">
        <f t="shared" ca="1" si="4"/>
        <v>0</v>
      </c>
      <c r="Q22" s="39">
        <f t="shared" ca="1" si="9"/>
        <v>0</v>
      </c>
      <c r="R22" s="51">
        <f t="shared" ca="1" si="10"/>
        <v>0</v>
      </c>
      <c r="S22" s="32">
        <f t="shared" ca="1" si="11"/>
        <v>0</v>
      </c>
      <c r="T22" s="39">
        <f t="shared" ca="1" si="12"/>
        <v>0</v>
      </c>
      <c r="U22" s="42">
        <f t="shared" ca="1" si="13"/>
        <v>0</v>
      </c>
      <c r="V22" s="54">
        <f t="shared" ca="1" si="14"/>
        <v>0</v>
      </c>
      <c r="W22" s="32" t="str">
        <f t="shared" ca="1" si="15"/>
        <v/>
      </c>
    </row>
    <row r="23" spans="1:23">
      <c r="A23" s="32" t="s">
        <v>36</v>
      </c>
      <c r="B23" s="33" t="s">
        <v>193</v>
      </c>
      <c r="C23" s="33" t="s">
        <v>194</v>
      </c>
      <c r="D23" s="30" t="s">
        <v>89</v>
      </c>
      <c r="E23" s="32">
        <f t="shared" ca="1" si="0"/>
        <v>0</v>
      </c>
      <c r="F23" s="37"/>
      <c r="G23" s="39">
        <f t="shared" ca="1" si="1"/>
        <v>0</v>
      </c>
      <c r="H23" s="39">
        <f t="shared" ca="1" si="5"/>
        <v>0</v>
      </c>
      <c r="I23" s="50">
        <f t="shared" ca="1" si="6"/>
        <v>0</v>
      </c>
      <c r="J23" s="37"/>
      <c r="K23" s="39">
        <f t="shared" ca="1" si="2"/>
        <v>0</v>
      </c>
      <c r="L23" s="39">
        <f t="shared" ca="1" si="7"/>
        <v>0</v>
      </c>
      <c r="M23" s="50">
        <f t="shared" ca="1" si="8"/>
        <v>0</v>
      </c>
      <c r="N23" s="32">
        <f t="shared" ca="1" si="3"/>
        <v>0</v>
      </c>
      <c r="O23" s="37"/>
      <c r="P23" s="39">
        <f t="shared" ca="1" si="4"/>
        <v>0</v>
      </c>
      <c r="Q23" s="39">
        <f t="shared" ca="1" si="9"/>
        <v>0</v>
      </c>
      <c r="R23" s="51">
        <f t="shared" ca="1" si="10"/>
        <v>0</v>
      </c>
      <c r="S23" s="32">
        <f t="shared" ca="1" si="11"/>
        <v>0</v>
      </c>
      <c r="T23" s="39">
        <f t="shared" ca="1" si="12"/>
        <v>0</v>
      </c>
      <c r="U23" s="42">
        <f t="shared" ca="1" si="13"/>
        <v>0</v>
      </c>
      <c r="V23" s="54">
        <f t="shared" ca="1" si="14"/>
        <v>0</v>
      </c>
      <c r="W23" s="32" t="str">
        <f t="shared" ca="1" si="15"/>
        <v/>
      </c>
    </row>
    <row r="24" spans="1:23">
      <c r="A24" s="32" t="s">
        <v>36</v>
      </c>
      <c r="B24" s="33" t="s">
        <v>195</v>
      </c>
      <c r="C24" s="33" t="s">
        <v>196</v>
      </c>
      <c r="D24" s="30" t="s">
        <v>90</v>
      </c>
      <c r="E24" s="32">
        <f t="shared" ca="1" si="0"/>
        <v>0</v>
      </c>
      <c r="F24" s="37"/>
      <c r="G24" s="39">
        <f t="shared" ca="1" si="1"/>
        <v>0</v>
      </c>
      <c r="H24" s="39">
        <f t="shared" ca="1" si="5"/>
        <v>0</v>
      </c>
      <c r="I24" s="50">
        <f t="shared" ca="1" si="6"/>
        <v>0</v>
      </c>
      <c r="J24" s="37"/>
      <c r="K24" s="39">
        <f t="shared" ca="1" si="2"/>
        <v>0</v>
      </c>
      <c r="L24" s="39">
        <f t="shared" ca="1" si="7"/>
        <v>0</v>
      </c>
      <c r="M24" s="50">
        <f t="shared" ca="1" si="8"/>
        <v>0</v>
      </c>
      <c r="N24" s="32">
        <f t="shared" ca="1" si="3"/>
        <v>0</v>
      </c>
      <c r="O24" s="37"/>
      <c r="P24" s="39">
        <f t="shared" ca="1" si="4"/>
        <v>0</v>
      </c>
      <c r="Q24" s="39">
        <f t="shared" ca="1" si="9"/>
        <v>0</v>
      </c>
      <c r="R24" s="51">
        <f t="shared" ca="1" si="10"/>
        <v>0</v>
      </c>
      <c r="S24" s="32">
        <f t="shared" ca="1" si="11"/>
        <v>0</v>
      </c>
      <c r="T24" s="39">
        <f t="shared" ca="1" si="12"/>
        <v>0</v>
      </c>
      <c r="U24" s="42">
        <f t="shared" ca="1" si="13"/>
        <v>0</v>
      </c>
      <c r="V24" s="54">
        <f t="shared" ca="1" si="14"/>
        <v>0</v>
      </c>
      <c r="W24" s="32" t="str">
        <f t="shared" ca="1" si="15"/>
        <v/>
      </c>
    </row>
    <row r="25" spans="1:23">
      <c r="A25" s="32" t="s">
        <v>36</v>
      </c>
      <c r="B25" s="33" t="s">
        <v>197</v>
      </c>
      <c r="C25" s="33" t="s">
        <v>198</v>
      </c>
      <c r="D25" s="30" t="s">
        <v>91</v>
      </c>
      <c r="E25" s="32">
        <f t="shared" ca="1" si="0"/>
        <v>0</v>
      </c>
      <c r="F25" s="37"/>
      <c r="G25" s="39">
        <f t="shared" ca="1" si="1"/>
        <v>0</v>
      </c>
      <c r="H25" s="39">
        <f t="shared" ca="1" si="5"/>
        <v>0</v>
      </c>
      <c r="I25" s="50">
        <f t="shared" ca="1" si="6"/>
        <v>0</v>
      </c>
      <c r="J25" s="37"/>
      <c r="K25" s="39">
        <f t="shared" ca="1" si="2"/>
        <v>0</v>
      </c>
      <c r="L25" s="39">
        <f t="shared" ca="1" si="7"/>
        <v>0</v>
      </c>
      <c r="M25" s="50">
        <f t="shared" ca="1" si="8"/>
        <v>0</v>
      </c>
      <c r="N25" s="32">
        <f t="shared" ca="1" si="3"/>
        <v>0</v>
      </c>
      <c r="O25" s="37"/>
      <c r="P25" s="39">
        <f t="shared" ca="1" si="4"/>
        <v>0</v>
      </c>
      <c r="Q25" s="39">
        <f t="shared" ca="1" si="9"/>
        <v>0</v>
      </c>
      <c r="R25" s="51">
        <f t="shared" ca="1" si="10"/>
        <v>0</v>
      </c>
      <c r="S25" s="32">
        <f t="shared" ca="1" si="11"/>
        <v>0</v>
      </c>
      <c r="T25" s="39">
        <f t="shared" ca="1" si="12"/>
        <v>0</v>
      </c>
      <c r="U25" s="42">
        <f t="shared" ca="1" si="13"/>
        <v>0</v>
      </c>
      <c r="V25" s="54">
        <f t="shared" ca="1" si="14"/>
        <v>0</v>
      </c>
      <c r="W25" s="32" t="str">
        <f t="shared" ca="1" si="15"/>
        <v/>
      </c>
    </row>
    <row r="26" spans="1:23">
      <c r="A26" s="32" t="s">
        <v>36</v>
      </c>
      <c r="B26" s="33" t="s">
        <v>199</v>
      </c>
      <c r="C26" s="33" t="s">
        <v>200</v>
      </c>
      <c r="D26" s="30" t="s">
        <v>92</v>
      </c>
      <c r="E26" s="32">
        <f t="shared" ca="1" si="0"/>
        <v>0</v>
      </c>
      <c r="F26" s="37"/>
      <c r="G26" s="39">
        <f t="shared" ca="1" si="1"/>
        <v>0</v>
      </c>
      <c r="H26" s="39">
        <f t="shared" ca="1" si="5"/>
        <v>0</v>
      </c>
      <c r="I26" s="50">
        <f t="shared" ca="1" si="6"/>
        <v>0</v>
      </c>
      <c r="J26" s="37"/>
      <c r="K26" s="39">
        <f t="shared" ca="1" si="2"/>
        <v>0</v>
      </c>
      <c r="L26" s="39">
        <f t="shared" ca="1" si="7"/>
        <v>0</v>
      </c>
      <c r="M26" s="50">
        <f t="shared" ca="1" si="8"/>
        <v>0</v>
      </c>
      <c r="N26" s="32">
        <f t="shared" ca="1" si="3"/>
        <v>0</v>
      </c>
      <c r="O26" s="37"/>
      <c r="P26" s="39">
        <f t="shared" ca="1" si="4"/>
        <v>0</v>
      </c>
      <c r="Q26" s="39">
        <f t="shared" ca="1" si="9"/>
        <v>0</v>
      </c>
      <c r="R26" s="51">
        <f t="shared" ca="1" si="10"/>
        <v>0</v>
      </c>
      <c r="S26" s="32">
        <f t="shared" ca="1" si="11"/>
        <v>0</v>
      </c>
      <c r="T26" s="39">
        <f t="shared" ca="1" si="12"/>
        <v>0</v>
      </c>
      <c r="U26" s="42">
        <f t="shared" ca="1" si="13"/>
        <v>0</v>
      </c>
      <c r="V26" s="54">
        <f t="shared" ca="1" si="14"/>
        <v>0</v>
      </c>
      <c r="W26" s="32" t="str">
        <f t="shared" ca="1" si="15"/>
        <v/>
      </c>
    </row>
    <row r="27" spans="1:23">
      <c r="A27" s="32" t="s">
        <v>36</v>
      </c>
      <c r="B27" s="33" t="s">
        <v>201</v>
      </c>
      <c r="C27" s="33" t="s">
        <v>202</v>
      </c>
      <c r="D27" s="30" t="s">
        <v>93</v>
      </c>
      <c r="E27" s="32">
        <f t="shared" ca="1" si="0"/>
        <v>0</v>
      </c>
      <c r="F27" s="37"/>
      <c r="G27" s="39">
        <f t="shared" ca="1" si="1"/>
        <v>0</v>
      </c>
      <c r="H27" s="39">
        <f t="shared" ca="1" si="5"/>
        <v>0</v>
      </c>
      <c r="I27" s="50">
        <f t="shared" ca="1" si="6"/>
        <v>0</v>
      </c>
      <c r="J27" s="37"/>
      <c r="K27" s="39">
        <f t="shared" ca="1" si="2"/>
        <v>0</v>
      </c>
      <c r="L27" s="39">
        <f t="shared" ca="1" si="7"/>
        <v>0</v>
      </c>
      <c r="M27" s="50">
        <f t="shared" ca="1" si="8"/>
        <v>0</v>
      </c>
      <c r="N27" s="32">
        <f t="shared" ca="1" si="3"/>
        <v>0</v>
      </c>
      <c r="O27" s="37"/>
      <c r="P27" s="39">
        <f t="shared" ca="1" si="4"/>
        <v>0</v>
      </c>
      <c r="Q27" s="39">
        <f t="shared" ca="1" si="9"/>
        <v>0</v>
      </c>
      <c r="R27" s="51">
        <f t="shared" ca="1" si="10"/>
        <v>0</v>
      </c>
      <c r="S27" s="32">
        <f t="shared" ca="1" si="11"/>
        <v>0</v>
      </c>
      <c r="T27" s="39">
        <f t="shared" ca="1" si="12"/>
        <v>0</v>
      </c>
      <c r="U27" s="42">
        <f t="shared" ca="1" si="13"/>
        <v>0</v>
      </c>
      <c r="V27" s="54">
        <f t="shared" ca="1" si="14"/>
        <v>0</v>
      </c>
      <c r="W27" s="32" t="str">
        <f t="shared" ca="1" si="15"/>
        <v/>
      </c>
    </row>
    <row r="28" spans="1:23">
      <c r="A28" s="32" t="s">
        <v>36</v>
      </c>
      <c r="B28" s="33" t="s">
        <v>203</v>
      </c>
      <c r="C28" s="33" t="s">
        <v>204</v>
      </c>
      <c r="D28" s="30" t="s">
        <v>94</v>
      </c>
      <c r="E28" s="32">
        <f t="shared" ca="1" si="0"/>
        <v>0</v>
      </c>
      <c r="F28" s="37"/>
      <c r="G28" s="39">
        <f t="shared" ca="1" si="1"/>
        <v>0</v>
      </c>
      <c r="H28" s="39">
        <f t="shared" ca="1" si="5"/>
        <v>0</v>
      </c>
      <c r="I28" s="50">
        <f t="shared" ca="1" si="6"/>
        <v>0</v>
      </c>
      <c r="J28" s="37"/>
      <c r="K28" s="39">
        <f t="shared" ca="1" si="2"/>
        <v>0</v>
      </c>
      <c r="L28" s="39">
        <f t="shared" ca="1" si="7"/>
        <v>0</v>
      </c>
      <c r="M28" s="50">
        <f t="shared" ca="1" si="8"/>
        <v>0</v>
      </c>
      <c r="N28" s="32">
        <f t="shared" ca="1" si="3"/>
        <v>0</v>
      </c>
      <c r="O28" s="37"/>
      <c r="P28" s="39">
        <f t="shared" ca="1" si="4"/>
        <v>0</v>
      </c>
      <c r="Q28" s="39">
        <f t="shared" ca="1" si="9"/>
        <v>0</v>
      </c>
      <c r="R28" s="51">
        <f t="shared" ca="1" si="10"/>
        <v>0</v>
      </c>
      <c r="S28" s="32">
        <f t="shared" ca="1" si="11"/>
        <v>0</v>
      </c>
      <c r="T28" s="39">
        <f t="shared" ca="1" si="12"/>
        <v>0</v>
      </c>
      <c r="U28" s="42">
        <f t="shared" ca="1" si="13"/>
        <v>0</v>
      </c>
      <c r="V28" s="54">
        <f t="shared" ca="1" si="14"/>
        <v>0</v>
      </c>
      <c r="W28" s="32" t="str">
        <f t="shared" ca="1" si="15"/>
        <v/>
      </c>
    </row>
    <row r="29" spans="1:23">
      <c r="A29" s="32" t="s">
        <v>36</v>
      </c>
      <c r="B29" s="33" t="s">
        <v>205</v>
      </c>
      <c r="C29" s="33" t="s">
        <v>206</v>
      </c>
      <c r="D29" s="30" t="s">
        <v>95</v>
      </c>
      <c r="E29" s="32">
        <f t="shared" ca="1" si="0"/>
        <v>0</v>
      </c>
      <c r="F29" s="37"/>
      <c r="G29" s="39">
        <f t="shared" ca="1" si="1"/>
        <v>0</v>
      </c>
      <c r="H29" s="39">
        <f t="shared" ca="1" si="5"/>
        <v>0</v>
      </c>
      <c r="I29" s="50">
        <f t="shared" ca="1" si="6"/>
        <v>0</v>
      </c>
      <c r="J29" s="37"/>
      <c r="K29" s="39">
        <f t="shared" ca="1" si="2"/>
        <v>0</v>
      </c>
      <c r="L29" s="39">
        <f t="shared" ca="1" si="7"/>
        <v>0</v>
      </c>
      <c r="M29" s="50">
        <f t="shared" ca="1" si="8"/>
        <v>0</v>
      </c>
      <c r="N29" s="32">
        <f t="shared" ca="1" si="3"/>
        <v>0</v>
      </c>
      <c r="O29" s="37"/>
      <c r="P29" s="39">
        <f t="shared" ca="1" si="4"/>
        <v>0</v>
      </c>
      <c r="Q29" s="39">
        <f t="shared" ca="1" si="9"/>
        <v>0</v>
      </c>
      <c r="R29" s="51">
        <f t="shared" ca="1" si="10"/>
        <v>0</v>
      </c>
      <c r="S29" s="32">
        <f t="shared" ca="1" si="11"/>
        <v>0</v>
      </c>
      <c r="T29" s="39">
        <f t="shared" ca="1" si="12"/>
        <v>0</v>
      </c>
      <c r="U29" s="42">
        <f t="shared" ca="1" si="13"/>
        <v>0</v>
      </c>
      <c r="V29" s="54">
        <f t="shared" ca="1" si="14"/>
        <v>0</v>
      </c>
      <c r="W29" s="32" t="str">
        <f t="shared" ca="1" si="15"/>
        <v/>
      </c>
    </row>
    <row r="30" spans="1:23">
      <c r="A30" s="32" t="s">
        <v>36</v>
      </c>
      <c r="B30" s="33" t="s">
        <v>207</v>
      </c>
      <c r="C30" s="33" t="s">
        <v>208</v>
      </c>
      <c r="D30" s="30" t="s">
        <v>96</v>
      </c>
      <c r="E30" s="32">
        <f t="shared" ca="1" si="0"/>
        <v>0</v>
      </c>
      <c r="F30" s="37"/>
      <c r="G30" s="39">
        <f t="shared" ca="1" si="1"/>
        <v>0</v>
      </c>
      <c r="H30" s="39">
        <f t="shared" ca="1" si="5"/>
        <v>0</v>
      </c>
      <c r="I30" s="50">
        <f t="shared" ca="1" si="6"/>
        <v>0</v>
      </c>
      <c r="J30" s="37"/>
      <c r="K30" s="39">
        <f t="shared" ca="1" si="2"/>
        <v>0</v>
      </c>
      <c r="L30" s="39">
        <f t="shared" ca="1" si="7"/>
        <v>0</v>
      </c>
      <c r="M30" s="50">
        <f t="shared" ca="1" si="8"/>
        <v>0</v>
      </c>
      <c r="N30" s="32">
        <f t="shared" ca="1" si="3"/>
        <v>0</v>
      </c>
      <c r="O30" s="37"/>
      <c r="P30" s="39">
        <f t="shared" ca="1" si="4"/>
        <v>0</v>
      </c>
      <c r="Q30" s="39">
        <f t="shared" ca="1" si="9"/>
        <v>0</v>
      </c>
      <c r="R30" s="51">
        <f t="shared" ca="1" si="10"/>
        <v>0</v>
      </c>
      <c r="S30" s="32">
        <f t="shared" ca="1" si="11"/>
        <v>0</v>
      </c>
      <c r="T30" s="39">
        <f t="shared" ca="1" si="12"/>
        <v>0</v>
      </c>
      <c r="U30" s="42">
        <f t="shared" ca="1" si="13"/>
        <v>0</v>
      </c>
      <c r="V30" s="54">
        <f t="shared" ca="1" si="14"/>
        <v>0</v>
      </c>
      <c r="W30" s="32" t="str">
        <f t="shared" ca="1" si="15"/>
        <v/>
      </c>
    </row>
    <row r="31" spans="1:23">
      <c r="A31" s="32" t="s">
        <v>36</v>
      </c>
      <c r="B31" s="33" t="s">
        <v>209</v>
      </c>
      <c r="C31" s="33" t="s">
        <v>210</v>
      </c>
      <c r="D31" s="30" t="s">
        <v>97</v>
      </c>
      <c r="E31" s="32">
        <f t="shared" ca="1" si="0"/>
        <v>0</v>
      </c>
      <c r="F31" s="37"/>
      <c r="G31" s="39">
        <f t="shared" ca="1" si="1"/>
        <v>0</v>
      </c>
      <c r="H31" s="39">
        <f t="shared" ca="1" si="5"/>
        <v>0</v>
      </c>
      <c r="I31" s="50">
        <f t="shared" ca="1" si="6"/>
        <v>0</v>
      </c>
      <c r="J31" s="37"/>
      <c r="K31" s="39">
        <f t="shared" ca="1" si="2"/>
        <v>0</v>
      </c>
      <c r="L31" s="39">
        <f t="shared" ca="1" si="7"/>
        <v>0</v>
      </c>
      <c r="M31" s="50">
        <f t="shared" ca="1" si="8"/>
        <v>0</v>
      </c>
      <c r="N31" s="32">
        <f t="shared" ca="1" si="3"/>
        <v>0</v>
      </c>
      <c r="O31" s="37"/>
      <c r="P31" s="39">
        <f t="shared" ca="1" si="4"/>
        <v>0</v>
      </c>
      <c r="Q31" s="39">
        <f t="shared" ca="1" si="9"/>
        <v>0</v>
      </c>
      <c r="R31" s="51">
        <f t="shared" ca="1" si="10"/>
        <v>0</v>
      </c>
      <c r="S31" s="32">
        <f t="shared" ca="1" si="11"/>
        <v>0</v>
      </c>
      <c r="T31" s="39">
        <f t="shared" ca="1" si="12"/>
        <v>0</v>
      </c>
      <c r="U31" s="42">
        <f t="shared" ca="1" si="13"/>
        <v>0</v>
      </c>
      <c r="V31" s="54">
        <f t="shared" ca="1" si="14"/>
        <v>0</v>
      </c>
      <c r="W31" s="32" t="str">
        <f t="shared" ca="1" si="15"/>
        <v/>
      </c>
    </row>
    <row r="32" spans="1:23">
      <c r="A32" s="32" t="s">
        <v>36</v>
      </c>
      <c r="B32" s="33" t="s">
        <v>211</v>
      </c>
      <c r="C32" s="33" t="s">
        <v>212</v>
      </c>
      <c r="D32" s="30" t="s">
        <v>98</v>
      </c>
      <c r="E32" s="32">
        <f t="shared" ca="1" si="0"/>
        <v>0</v>
      </c>
      <c r="F32" s="37"/>
      <c r="G32" s="39">
        <f t="shared" ca="1" si="1"/>
        <v>0</v>
      </c>
      <c r="H32" s="39">
        <f t="shared" ca="1" si="5"/>
        <v>0</v>
      </c>
      <c r="I32" s="50">
        <f t="shared" ca="1" si="6"/>
        <v>0</v>
      </c>
      <c r="J32" s="37"/>
      <c r="K32" s="39">
        <f t="shared" ca="1" si="2"/>
        <v>0</v>
      </c>
      <c r="L32" s="39">
        <f t="shared" ca="1" si="7"/>
        <v>0</v>
      </c>
      <c r="M32" s="50">
        <f t="shared" ca="1" si="8"/>
        <v>0</v>
      </c>
      <c r="N32" s="32">
        <f t="shared" ca="1" si="3"/>
        <v>0</v>
      </c>
      <c r="O32" s="37"/>
      <c r="P32" s="39">
        <f t="shared" ca="1" si="4"/>
        <v>0</v>
      </c>
      <c r="Q32" s="39">
        <f t="shared" ca="1" si="9"/>
        <v>0</v>
      </c>
      <c r="R32" s="51">
        <f t="shared" ca="1" si="10"/>
        <v>0</v>
      </c>
      <c r="S32" s="32">
        <f t="shared" ca="1" si="11"/>
        <v>0</v>
      </c>
      <c r="T32" s="39">
        <f t="shared" ca="1" si="12"/>
        <v>0</v>
      </c>
      <c r="U32" s="42">
        <f t="shared" ca="1" si="13"/>
        <v>0</v>
      </c>
      <c r="V32" s="54">
        <f t="shared" ca="1" si="14"/>
        <v>0</v>
      </c>
      <c r="W32" s="32" t="str">
        <f t="shared" ca="1" si="15"/>
        <v/>
      </c>
    </row>
    <row r="33" spans="1:23">
      <c r="A33" s="32" t="s">
        <v>36</v>
      </c>
      <c r="B33" s="33" t="s">
        <v>213</v>
      </c>
      <c r="C33" s="33" t="s">
        <v>214</v>
      </c>
      <c r="D33" s="30" t="s">
        <v>99</v>
      </c>
      <c r="E33" s="32">
        <f t="shared" ca="1" si="0"/>
        <v>0</v>
      </c>
      <c r="F33" s="37"/>
      <c r="G33" s="39">
        <f t="shared" ca="1" si="1"/>
        <v>0</v>
      </c>
      <c r="H33" s="39">
        <f t="shared" ca="1" si="5"/>
        <v>0</v>
      </c>
      <c r="I33" s="50">
        <f t="shared" ca="1" si="6"/>
        <v>0</v>
      </c>
      <c r="J33" s="37"/>
      <c r="K33" s="39">
        <f t="shared" ca="1" si="2"/>
        <v>0</v>
      </c>
      <c r="L33" s="39">
        <f t="shared" ca="1" si="7"/>
        <v>0</v>
      </c>
      <c r="M33" s="50">
        <f t="shared" ca="1" si="8"/>
        <v>0</v>
      </c>
      <c r="N33" s="32">
        <f t="shared" ca="1" si="3"/>
        <v>0</v>
      </c>
      <c r="O33" s="37"/>
      <c r="P33" s="39">
        <f t="shared" ca="1" si="4"/>
        <v>0</v>
      </c>
      <c r="Q33" s="39">
        <f t="shared" ca="1" si="9"/>
        <v>0</v>
      </c>
      <c r="R33" s="51">
        <f t="shared" ca="1" si="10"/>
        <v>0</v>
      </c>
      <c r="S33" s="32">
        <f t="shared" ca="1" si="11"/>
        <v>0</v>
      </c>
      <c r="T33" s="39">
        <f t="shared" ca="1" si="12"/>
        <v>0</v>
      </c>
      <c r="U33" s="42">
        <f t="shared" ca="1" si="13"/>
        <v>0</v>
      </c>
      <c r="V33" s="54">
        <f t="shared" ca="1" si="14"/>
        <v>0</v>
      </c>
      <c r="W33" s="32" t="str">
        <f t="shared" ca="1" si="15"/>
        <v/>
      </c>
    </row>
    <row r="34" spans="1:23">
      <c r="A34" s="32" t="s">
        <v>36</v>
      </c>
      <c r="B34" s="33" t="s">
        <v>215</v>
      </c>
      <c r="C34" s="33" t="s">
        <v>216</v>
      </c>
      <c r="D34" s="30" t="s">
        <v>100</v>
      </c>
      <c r="E34" s="32">
        <f t="shared" ca="1" si="0"/>
        <v>0</v>
      </c>
      <c r="F34" s="37"/>
      <c r="G34" s="39">
        <f t="shared" ca="1" si="1"/>
        <v>0</v>
      </c>
      <c r="H34" s="39">
        <f t="shared" ca="1" si="5"/>
        <v>0</v>
      </c>
      <c r="I34" s="50">
        <f t="shared" ca="1" si="6"/>
        <v>0</v>
      </c>
      <c r="J34" s="37"/>
      <c r="K34" s="39">
        <f t="shared" ca="1" si="2"/>
        <v>0</v>
      </c>
      <c r="L34" s="39">
        <f t="shared" ca="1" si="7"/>
        <v>0</v>
      </c>
      <c r="M34" s="50">
        <f t="shared" ca="1" si="8"/>
        <v>0</v>
      </c>
      <c r="N34" s="32">
        <f t="shared" ca="1" si="3"/>
        <v>0</v>
      </c>
      <c r="O34" s="37"/>
      <c r="P34" s="39">
        <f t="shared" ca="1" si="4"/>
        <v>0</v>
      </c>
      <c r="Q34" s="39">
        <f t="shared" ca="1" si="9"/>
        <v>0</v>
      </c>
      <c r="R34" s="51">
        <f t="shared" ca="1" si="10"/>
        <v>0</v>
      </c>
      <c r="S34" s="32">
        <f t="shared" ca="1" si="11"/>
        <v>0</v>
      </c>
      <c r="T34" s="39">
        <f t="shared" ca="1" si="12"/>
        <v>0</v>
      </c>
      <c r="U34" s="42">
        <f t="shared" ca="1" si="13"/>
        <v>0</v>
      </c>
      <c r="V34" s="54">
        <f t="shared" ca="1" si="14"/>
        <v>0</v>
      </c>
      <c r="W34" s="32" t="str">
        <f t="shared" ca="1" si="15"/>
        <v/>
      </c>
    </row>
    <row r="35" spans="1:23">
      <c r="A35" s="32" t="s">
        <v>36</v>
      </c>
      <c r="B35" s="33" t="s">
        <v>217</v>
      </c>
      <c r="C35" s="33" t="s">
        <v>218</v>
      </c>
      <c r="D35" s="30" t="s">
        <v>101</v>
      </c>
      <c r="E35" s="32">
        <f t="shared" ca="1" si="0"/>
        <v>0</v>
      </c>
      <c r="F35" s="37"/>
      <c r="G35" s="39">
        <f t="shared" ca="1" si="1"/>
        <v>0</v>
      </c>
      <c r="H35" s="39">
        <f t="shared" ca="1" si="5"/>
        <v>0</v>
      </c>
      <c r="I35" s="50">
        <f t="shared" ca="1" si="6"/>
        <v>0</v>
      </c>
      <c r="J35" s="37"/>
      <c r="K35" s="39">
        <f t="shared" ca="1" si="2"/>
        <v>0</v>
      </c>
      <c r="L35" s="39">
        <f t="shared" ca="1" si="7"/>
        <v>0</v>
      </c>
      <c r="M35" s="50">
        <f t="shared" ca="1" si="8"/>
        <v>0</v>
      </c>
      <c r="N35" s="32">
        <f t="shared" ca="1" si="3"/>
        <v>0</v>
      </c>
      <c r="O35" s="37"/>
      <c r="P35" s="39">
        <f t="shared" ca="1" si="4"/>
        <v>0</v>
      </c>
      <c r="Q35" s="39">
        <f t="shared" ca="1" si="9"/>
        <v>0</v>
      </c>
      <c r="R35" s="51">
        <f t="shared" ca="1" si="10"/>
        <v>0</v>
      </c>
      <c r="S35" s="32">
        <f t="shared" ca="1" si="11"/>
        <v>0</v>
      </c>
      <c r="T35" s="39">
        <f t="shared" ca="1" si="12"/>
        <v>0</v>
      </c>
      <c r="U35" s="42">
        <f t="shared" ca="1" si="13"/>
        <v>0</v>
      </c>
      <c r="V35" s="54">
        <f t="shared" ca="1" si="14"/>
        <v>0</v>
      </c>
      <c r="W35" s="32" t="str">
        <f t="shared" ca="1" si="15"/>
        <v/>
      </c>
    </row>
    <row r="36" spans="1:23">
      <c r="A36" s="32" t="s">
        <v>36</v>
      </c>
      <c r="B36" s="33" t="s">
        <v>219</v>
      </c>
      <c r="C36" s="33" t="s">
        <v>220</v>
      </c>
      <c r="D36" s="30" t="s">
        <v>102</v>
      </c>
      <c r="E36" s="32">
        <f t="shared" ca="1" si="0"/>
        <v>0</v>
      </c>
      <c r="F36" s="37"/>
      <c r="G36" s="39">
        <f t="shared" ca="1" si="1"/>
        <v>0</v>
      </c>
      <c r="H36" s="39">
        <f t="shared" ca="1" si="5"/>
        <v>0</v>
      </c>
      <c r="I36" s="50">
        <f t="shared" ca="1" si="6"/>
        <v>0</v>
      </c>
      <c r="J36" s="37"/>
      <c r="K36" s="39">
        <f t="shared" ca="1" si="2"/>
        <v>0</v>
      </c>
      <c r="L36" s="39">
        <f t="shared" ca="1" si="7"/>
        <v>0</v>
      </c>
      <c r="M36" s="50">
        <f t="shared" ca="1" si="8"/>
        <v>0</v>
      </c>
      <c r="N36" s="32">
        <f t="shared" ca="1" si="3"/>
        <v>0</v>
      </c>
      <c r="O36" s="37"/>
      <c r="P36" s="39">
        <f t="shared" ca="1" si="4"/>
        <v>0</v>
      </c>
      <c r="Q36" s="39">
        <f t="shared" ca="1" si="9"/>
        <v>0</v>
      </c>
      <c r="R36" s="51">
        <f t="shared" ca="1" si="10"/>
        <v>0</v>
      </c>
      <c r="S36" s="32">
        <f t="shared" ca="1" si="11"/>
        <v>0</v>
      </c>
      <c r="T36" s="39">
        <f t="shared" ca="1" si="12"/>
        <v>0</v>
      </c>
      <c r="U36" s="42">
        <f t="shared" ca="1" si="13"/>
        <v>0</v>
      </c>
      <c r="V36" s="54">
        <f t="shared" ca="1" si="14"/>
        <v>0</v>
      </c>
      <c r="W36" s="32" t="str">
        <f t="shared" ca="1" si="15"/>
        <v/>
      </c>
    </row>
    <row r="37" spans="1:23">
      <c r="A37" s="32" t="s">
        <v>36</v>
      </c>
      <c r="B37" s="33" t="s">
        <v>221</v>
      </c>
      <c r="C37" s="33" t="s">
        <v>222</v>
      </c>
      <c r="D37" s="30" t="s">
        <v>103</v>
      </c>
      <c r="E37" s="32">
        <f t="shared" ref="E37:E68" ca="1" si="18">COUNTIFS(INDIRECT(台帳_A通常範囲),"&gt;0",INDIRECT(台帳_氏名範囲),$D37,INDIRECT(台帳_例月範囲),台帳_集計月)</f>
        <v>0</v>
      </c>
      <c r="F37" s="37"/>
      <c r="G37" s="39">
        <f t="shared" ref="G37:G68" ca="1" si="19">SUMIFS(INDIRECT(台帳_A通常範囲),INDIRECT(台帳_氏名範囲),$D37,INDIRECT(台帳_例月範囲),台帳_集計月)</f>
        <v>0</v>
      </c>
      <c r="H37" s="39">
        <f t="shared" ca="1" si="5"/>
        <v>0</v>
      </c>
      <c r="I37" s="50">
        <f t="shared" ca="1" si="6"/>
        <v>0</v>
      </c>
      <c r="J37" s="37"/>
      <c r="K37" s="39">
        <f t="shared" ref="K37:K68" ca="1" si="20">SUMIFS(INDIRECT(台帳_A深夜範囲),INDIRECT(台帳_氏名範囲),$D37,INDIRECT(台帳_例月範囲),台帳_集計月)</f>
        <v>0</v>
      </c>
      <c r="L37" s="39">
        <f t="shared" ca="1" si="7"/>
        <v>0</v>
      </c>
      <c r="M37" s="50">
        <f t="shared" ca="1" si="8"/>
        <v>0</v>
      </c>
      <c r="N37" s="32">
        <f t="shared" ref="N37:N68" ca="1" si="21">COUNTIFS(INDIRECT(台帳_B通常範囲),"&gt;0",INDIRECT(台帳_氏名範囲),$D37,INDIRECT(台帳_例月範囲),台帳_集計月)</f>
        <v>0</v>
      </c>
      <c r="O37" s="37"/>
      <c r="P37" s="39">
        <f t="shared" ref="P37:P68" ca="1" si="22">SUMIFS(INDIRECT(台帳_B通常範囲),INDIRECT(台帳_氏名範囲),$D37,INDIRECT(台帳_例月範囲),台帳_集計月)</f>
        <v>0</v>
      </c>
      <c r="Q37" s="39">
        <f t="shared" ca="1" si="9"/>
        <v>0</v>
      </c>
      <c r="R37" s="51">
        <f t="shared" ca="1" si="10"/>
        <v>0</v>
      </c>
      <c r="S37" s="32">
        <f t="shared" ca="1" si="11"/>
        <v>0</v>
      </c>
      <c r="T37" s="39">
        <f t="shared" ca="1" si="12"/>
        <v>0</v>
      </c>
      <c r="U37" s="42">
        <f t="shared" ca="1" si="13"/>
        <v>0</v>
      </c>
      <c r="V37" s="54">
        <f t="shared" ca="1" si="14"/>
        <v>0</v>
      </c>
      <c r="W37" s="32" t="str">
        <f t="shared" ca="1" si="15"/>
        <v/>
      </c>
    </row>
    <row r="38" spans="1:23">
      <c r="A38" s="32" t="s">
        <v>36</v>
      </c>
      <c r="B38" s="33" t="s">
        <v>223</v>
      </c>
      <c r="C38" s="33" t="s">
        <v>224</v>
      </c>
      <c r="D38" s="30" t="s">
        <v>104</v>
      </c>
      <c r="E38" s="32">
        <f t="shared" ca="1" si="18"/>
        <v>0</v>
      </c>
      <c r="F38" s="37"/>
      <c r="G38" s="39">
        <f t="shared" ca="1" si="19"/>
        <v>0</v>
      </c>
      <c r="H38" s="39">
        <f t="shared" ca="1" si="5"/>
        <v>0</v>
      </c>
      <c r="I38" s="50">
        <f t="shared" ca="1" si="6"/>
        <v>0</v>
      </c>
      <c r="J38" s="37"/>
      <c r="K38" s="39">
        <f t="shared" ca="1" si="20"/>
        <v>0</v>
      </c>
      <c r="L38" s="39">
        <f t="shared" ca="1" si="7"/>
        <v>0</v>
      </c>
      <c r="M38" s="50">
        <f t="shared" ca="1" si="8"/>
        <v>0</v>
      </c>
      <c r="N38" s="32">
        <f t="shared" ca="1" si="21"/>
        <v>0</v>
      </c>
      <c r="O38" s="37"/>
      <c r="P38" s="39">
        <f t="shared" ca="1" si="22"/>
        <v>0</v>
      </c>
      <c r="Q38" s="39">
        <f t="shared" ca="1" si="9"/>
        <v>0</v>
      </c>
      <c r="R38" s="51">
        <f t="shared" ca="1" si="10"/>
        <v>0</v>
      </c>
      <c r="S38" s="32">
        <f t="shared" ca="1" si="11"/>
        <v>0</v>
      </c>
      <c r="T38" s="39">
        <f t="shared" ca="1" si="12"/>
        <v>0</v>
      </c>
      <c r="U38" s="42">
        <f t="shared" ca="1" si="13"/>
        <v>0</v>
      </c>
      <c r="V38" s="54">
        <f t="shared" ca="1" si="14"/>
        <v>0</v>
      </c>
      <c r="W38" s="32" t="str">
        <f t="shared" ca="1" si="15"/>
        <v/>
      </c>
    </row>
    <row r="39" spans="1:23">
      <c r="A39" s="32" t="s">
        <v>36</v>
      </c>
      <c r="B39" s="33" t="s">
        <v>225</v>
      </c>
      <c r="C39" s="33" t="s">
        <v>226</v>
      </c>
      <c r="D39" s="30" t="s">
        <v>105</v>
      </c>
      <c r="E39" s="32">
        <f t="shared" ca="1" si="18"/>
        <v>0</v>
      </c>
      <c r="F39" s="37"/>
      <c r="G39" s="39">
        <f t="shared" ca="1" si="19"/>
        <v>0</v>
      </c>
      <c r="H39" s="39">
        <f t="shared" ca="1" si="5"/>
        <v>0</v>
      </c>
      <c r="I39" s="50">
        <f t="shared" ca="1" si="6"/>
        <v>0</v>
      </c>
      <c r="J39" s="37"/>
      <c r="K39" s="39">
        <f t="shared" ca="1" si="20"/>
        <v>0</v>
      </c>
      <c r="L39" s="39">
        <f t="shared" ca="1" si="7"/>
        <v>0</v>
      </c>
      <c r="M39" s="50">
        <f t="shared" ca="1" si="8"/>
        <v>0</v>
      </c>
      <c r="N39" s="32">
        <f t="shared" ca="1" si="21"/>
        <v>0</v>
      </c>
      <c r="O39" s="37"/>
      <c r="P39" s="39">
        <f t="shared" ca="1" si="22"/>
        <v>0</v>
      </c>
      <c r="Q39" s="39">
        <f t="shared" ca="1" si="9"/>
        <v>0</v>
      </c>
      <c r="R39" s="51">
        <f t="shared" ca="1" si="10"/>
        <v>0</v>
      </c>
      <c r="S39" s="32">
        <f t="shared" ca="1" si="11"/>
        <v>0</v>
      </c>
      <c r="T39" s="39">
        <f t="shared" ca="1" si="12"/>
        <v>0</v>
      </c>
      <c r="U39" s="42">
        <f t="shared" ca="1" si="13"/>
        <v>0</v>
      </c>
      <c r="V39" s="54">
        <f t="shared" ca="1" si="14"/>
        <v>0</v>
      </c>
      <c r="W39" s="32" t="str">
        <f t="shared" ca="1" si="15"/>
        <v/>
      </c>
    </row>
    <row r="40" spans="1:23">
      <c r="A40" s="32" t="s">
        <v>36</v>
      </c>
      <c r="B40" s="33" t="s">
        <v>227</v>
      </c>
      <c r="C40" s="33" t="s">
        <v>228</v>
      </c>
      <c r="D40" s="30" t="s">
        <v>106</v>
      </c>
      <c r="E40" s="32">
        <f t="shared" ca="1" si="18"/>
        <v>0</v>
      </c>
      <c r="F40" s="37"/>
      <c r="G40" s="39">
        <f t="shared" ca="1" si="19"/>
        <v>0</v>
      </c>
      <c r="H40" s="39">
        <f t="shared" ca="1" si="5"/>
        <v>0</v>
      </c>
      <c r="I40" s="50">
        <f t="shared" ca="1" si="6"/>
        <v>0</v>
      </c>
      <c r="J40" s="37"/>
      <c r="K40" s="39">
        <f t="shared" ca="1" si="20"/>
        <v>0</v>
      </c>
      <c r="L40" s="39">
        <f t="shared" ca="1" si="7"/>
        <v>0</v>
      </c>
      <c r="M40" s="50">
        <f t="shared" ca="1" si="8"/>
        <v>0</v>
      </c>
      <c r="N40" s="32">
        <f t="shared" ca="1" si="21"/>
        <v>0</v>
      </c>
      <c r="O40" s="37"/>
      <c r="P40" s="39">
        <f t="shared" ca="1" si="22"/>
        <v>0</v>
      </c>
      <c r="Q40" s="39">
        <f t="shared" ca="1" si="9"/>
        <v>0</v>
      </c>
      <c r="R40" s="51">
        <f t="shared" ca="1" si="10"/>
        <v>0</v>
      </c>
      <c r="S40" s="32">
        <f t="shared" ca="1" si="11"/>
        <v>0</v>
      </c>
      <c r="T40" s="39">
        <f t="shared" ca="1" si="12"/>
        <v>0</v>
      </c>
      <c r="U40" s="42">
        <f t="shared" ca="1" si="13"/>
        <v>0</v>
      </c>
      <c r="V40" s="54">
        <f t="shared" ca="1" si="14"/>
        <v>0</v>
      </c>
      <c r="W40" s="32" t="str">
        <f t="shared" ca="1" si="15"/>
        <v/>
      </c>
    </row>
    <row r="41" spans="1:23">
      <c r="A41" s="32" t="s">
        <v>36</v>
      </c>
      <c r="B41" s="33" t="s">
        <v>229</v>
      </c>
      <c r="C41" s="33" t="s">
        <v>230</v>
      </c>
      <c r="D41" s="30" t="s">
        <v>107</v>
      </c>
      <c r="E41" s="32">
        <f t="shared" ca="1" si="18"/>
        <v>0</v>
      </c>
      <c r="F41" s="37"/>
      <c r="G41" s="39">
        <f t="shared" ca="1" si="19"/>
        <v>0</v>
      </c>
      <c r="H41" s="39">
        <f t="shared" ca="1" si="5"/>
        <v>0</v>
      </c>
      <c r="I41" s="50">
        <f t="shared" ca="1" si="6"/>
        <v>0</v>
      </c>
      <c r="J41" s="37"/>
      <c r="K41" s="39">
        <f t="shared" ca="1" si="20"/>
        <v>0</v>
      </c>
      <c r="L41" s="39">
        <f t="shared" ca="1" si="7"/>
        <v>0</v>
      </c>
      <c r="M41" s="50">
        <f t="shared" ca="1" si="8"/>
        <v>0</v>
      </c>
      <c r="N41" s="32">
        <f t="shared" ca="1" si="21"/>
        <v>0</v>
      </c>
      <c r="O41" s="37"/>
      <c r="P41" s="39">
        <f t="shared" ca="1" si="22"/>
        <v>0</v>
      </c>
      <c r="Q41" s="39">
        <f t="shared" ca="1" si="9"/>
        <v>0</v>
      </c>
      <c r="R41" s="51">
        <f t="shared" ca="1" si="10"/>
        <v>0</v>
      </c>
      <c r="S41" s="32">
        <f t="shared" ca="1" si="11"/>
        <v>0</v>
      </c>
      <c r="T41" s="39">
        <f t="shared" ca="1" si="12"/>
        <v>0</v>
      </c>
      <c r="U41" s="42">
        <f t="shared" ca="1" si="13"/>
        <v>0</v>
      </c>
      <c r="V41" s="54">
        <f t="shared" ca="1" si="14"/>
        <v>0</v>
      </c>
      <c r="W41" s="32" t="str">
        <f t="shared" ca="1" si="15"/>
        <v/>
      </c>
    </row>
    <row r="42" spans="1:23">
      <c r="A42" s="32" t="s">
        <v>36</v>
      </c>
      <c r="B42" s="33" t="s">
        <v>231</v>
      </c>
      <c r="C42" s="33" t="s">
        <v>232</v>
      </c>
      <c r="D42" s="30" t="s">
        <v>108</v>
      </c>
      <c r="E42" s="32">
        <f t="shared" ca="1" si="18"/>
        <v>0</v>
      </c>
      <c r="F42" s="37"/>
      <c r="G42" s="39">
        <f t="shared" ca="1" si="19"/>
        <v>0</v>
      </c>
      <c r="H42" s="39">
        <f t="shared" ca="1" si="5"/>
        <v>0</v>
      </c>
      <c r="I42" s="50">
        <f t="shared" ca="1" si="6"/>
        <v>0</v>
      </c>
      <c r="J42" s="37"/>
      <c r="K42" s="39">
        <f t="shared" ca="1" si="20"/>
        <v>0</v>
      </c>
      <c r="L42" s="39">
        <f t="shared" ca="1" si="7"/>
        <v>0</v>
      </c>
      <c r="M42" s="50">
        <f t="shared" ca="1" si="8"/>
        <v>0</v>
      </c>
      <c r="N42" s="32">
        <f t="shared" ca="1" si="21"/>
        <v>0</v>
      </c>
      <c r="O42" s="37"/>
      <c r="P42" s="39">
        <f t="shared" ca="1" si="22"/>
        <v>0</v>
      </c>
      <c r="Q42" s="39">
        <f t="shared" ca="1" si="9"/>
        <v>0</v>
      </c>
      <c r="R42" s="51">
        <f t="shared" ca="1" si="10"/>
        <v>0</v>
      </c>
      <c r="S42" s="32">
        <f t="shared" ca="1" si="11"/>
        <v>0</v>
      </c>
      <c r="T42" s="39">
        <f t="shared" ca="1" si="12"/>
        <v>0</v>
      </c>
      <c r="U42" s="42">
        <f t="shared" ca="1" si="13"/>
        <v>0</v>
      </c>
      <c r="V42" s="54">
        <f t="shared" ca="1" si="14"/>
        <v>0</v>
      </c>
      <c r="W42" s="32" t="str">
        <f t="shared" ca="1" si="15"/>
        <v/>
      </c>
    </row>
    <row r="43" spans="1:23">
      <c r="A43" s="32" t="s">
        <v>36</v>
      </c>
      <c r="B43" s="33" t="s">
        <v>233</v>
      </c>
      <c r="C43" s="33" t="s">
        <v>234</v>
      </c>
      <c r="D43" s="30" t="s">
        <v>109</v>
      </c>
      <c r="E43" s="32">
        <f t="shared" ca="1" si="18"/>
        <v>0</v>
      </c>
      <c r="F43" s="37"/>
      <c r="G43" s="39">
        <f t="shared" ca="1" si="19"/>
        <v>0</v>
      </c>
      <c r="H43" s="39">
        <f t="shared" ca="1" si="5"/>
        <v>0</v>
      </c>
      <c r="I43" s="50">
        <f t="shared" ca="1" si="6"/>
        <v>0</v>
      </c>
      <c r="J43" s="37"/>
      <c r="K43" s="39">
        <f t="shared" ca="1" si="20"/>
        <v>0</v>
      </c>
      <c r="L43" s="39">
        <f t="shared" ca="1" si="7"/>
        <v>0</v>
      </c>
      <c r="M43" s="50">
        <f t="shared" ca="1" si="8"/>
        <v>0</v>
      </c>
      <c r="N43" s="32">
        <f t="shared" ca="1" si="21"/>
        <v>0</v>
      </c>
      <c r="O43" s="37"/>
      <c r="P43" s="39">
        <f t="shared" ca="1" si="22"/>
        <v>0</v>
      </c>
      <c r="Q43" s="39">
        <f t="shared" ca="1" si="9"/>
        <v>0</v>
      </c>
      <c r="R43" s="51">
        <f t="shared" ca="1" si="10"/>
        <v>0</v>
      </c>
      <c r="S43" s="32">
        <f t="shared" ca="1" si="11"/>
        <v>0</v>
      </c>
      <c r="T43" s="39">
        <f t="shared" ca="1" si="12"/>
        <v>0</v>
      </c>
      <c r="U43" s="42">
        <f t="shared" ca="1" si="13"/>
        <v>0</v>
      </c>
      <c r="V43" s="54">
        <f t="shared" ca="1" si="14"/>
        <v>0</v>
      </c>
      <c r="W43" s="32" t="str">
        <f t="shared" ca="1" si="15"/>
        <v/>
      </c>
    </row>
    <row r="44" spans="1:23">
      <c r="A44" s="32" t="s">
        <v>36</v>
      </c>
      <c r="B44" s="33" t="s">
        <v>235</v>
      </c>
      <c r="C44" s="33" t="s">
        <v>236</v>
      </c>
      <c r="D44" s="30" t="s">
        <v>110</v>
      </c>
      <c r="E44" s="32">
        <f t="shared" ca="1" si="18"/>
        <v>0</v>
      </c>
      <c r="F44" s="37"/>
      <c r="G44" s="39">
        <f t="shared" ca="1" si="19"/>
        <v>0</v>
      </c>
      <c r="H44" s="39">
        <f t="shared" ca="1" si="5"/>
        <v>0</v>
      </c>
      <c r="I44" s="50">
        <f t="shared" ca="1" si="6"/>
        <v>0</v>
      </c>
      <c r="J44" s="37"/>
      <c r="K44" s="39">
        <f t="shared" ca="1" si="20"/>
        <v>0</v>
      </c>
      <c r="L44" s="39">
        <f t="shared" ca="1" si="7"/>
        <v>0</v>
      </c>
      <c r="M44" s="50">
        <f t="shared" ca="1" si="8"/>
        <v>0</v>
      </c>
      <c r="N44" s="32">
        <f t="shared" ca="1" si="21"/>
        <v>0</v>
      </c>
      <c r="O44" s="37"/>
      <c r="P44" s="39">
        <f t="shared" ca="1" si="22"/>
        <v>0</v>
      </c>
      <c r="Q44" s="39">
        <f t="shared" ca="1" si="9"/>
        <v>0</v>
      </c>
      <c r="R44" s="51">
        <f t="shared" ca="1" si="10"/>
        <v>0</v>
      </c>
      <c r="S44" s="32">
        <f t="shared" ca="1" si="11"/>
        <v>0</v>
      </c>
      <c r="T44" s="39">
        <f t="shared" ca="1" si="12"/>
        <v>0</v>
      </c>
      <c r="U44" s="42">
        <f t="shared" ca="1" si="13"/>
        <v>0</v>
      </c>
      <c r="V44" s="54">
        <f t="shared" ca="1" si="14"/>
        <v>0</v>
      </c>
      <c r="W44" s="32" t="str">
        <f t="shared" ca="1" si="15"/>
        <v/>
      </c>
    </row>
    <row r="45" spans="1:23">
      <c r="A45" s="32" t="s">
        <v>36</v>
      </c>
      <c r="B45" s="33" t="s">
        <v>237</v>
      </c>
      <c r="C45" s="33" t="s">
        <v>238</v>
      </c>
      <c r="D45" s="30" t="s">
        <v>111</v>
      </c>
      <c r="E45" s="32">
        <f t="shared" ca="1" si="18"/>
        <v>0</v>
      </c>
      <c r="F45" s="37"/>
      <c r="G45" s="39">
        <f t="shared" ca="1" si="19"/>
        <v>0</v>
      </c>
      <c r="H45" s="39">
        <f t="shared" ca="1" si="5"/>
        <v>0</v>
      </c>
      <c r="I45" s="50">
        <f t="shared" ca="1" si="6"/>
        <v>0</v>
      </c>
      <c r="J45" s="37"/>
      <c r="K45" s="39">
        <f t="shared" ca="1" si="20"/>
        <v>0</v>
      </c>
      <c r="L45" s="39">
        <f t="shared" ca="1" si="7"/>
        <v>0</v>
      </c>
      <c r="M45" s="50">
        <f t="shared" ca="1" si="8"/>
        <v>0</v>
      </c>
      <c r="N45" s="32">
        <f t="shared" ca="1" si="21"/>
        <v>0</v>
      </c>
      <c r="O45" s="37"/>
      <c r="P45" s="39">
        <f t="shared" ca="1" si="22"/>
        <v>0</v>
      </c>
      <c r="Q45" s="39">
        <f t="shared" ca="1" si="9"/>
        <v>0</v>
      </c>
      <c r="R45" s="51">
        <f t="shared" ca="1" si="10"/>
        <v>0</v>
      </c>
      <c r="S45" s="32">
        <f t="shared" ca="1" si="11"/>
        <v>0</v>
      </c>
      <c r="T45" s="39">
        <f t="shared" ca="1" si="12"/>
        <v>0</v>
      </c>
      <c r="U45" s="42">
        <f t="shared" ca="1" si="13"/>
        <v>0</v>
      </c>
      <c r="V45" s="54">
        <f t="shared" ca="1" si="14"/>
        <v>0</v>
      </c>
      <c r="W45" s="32" t="str">
        <f t="shared" ca="1" si="15"/>
        <v/>
      </c>
    </row>
    <row r="46" spans="1:23">
      <c r="A46" s="32" t="s">
        <v>36</v>
      </c>
      <c r="B46" s="33" t="s">
        <v>239</v>
      </c>
      <c r="C46" s="33" t="s">
        <v>240</v>
      </c>
      <c r="D46" s="30" t="s">
        <v>112</v>
      </c>
      <c r="E46" s="32">
        <f t="shared" ca="1" si="18"/>
        <v>0</v>
      </c>
      <c r="F46" s="37"/>
      <c r="G46" s="39">
        <f t="shared" ca="1" si="19"/>
        <v>0</v>
      </c>
      <c r="H46" s="39">
        <f t="shared" ca="1" si="5"/>
        <v>0</v>
      </c>
      <c r="I46" s="50">
        <f t="shared" ca="1" si="6"/>
        <v>0</v>
      </c>
      <c r="J46" s="37"/>
      <c r="K46" s="39">
        <f t="shared" ca="1" si="20"/>
        <v>0</v>
      </c>
      <c r="L46" s="39">
        <f t="shared" ca="1" si="7"/>
        <v>0</v>
      </c>
      <c r="M46" s="50">
        <f t="shared" ca="1" si="8"/>
        <v>0</v>
      </c>
      <c r="N46" s="32">
        <f t="shared" ca="1" si="21"/>
        <v>0</v>
      </c>
      <c r="O46" s="37"/>
      <c r="P46" s="39">
        <f t="shared" ca="1" si="22"/>
        <v>0</v>
      </c>
      <c r="Q46" s="39">
        <f t="shared" ca="1" si="9"/>
        <v>0</v>
      </c>
      <c r="R46" s="51">
        <f t="shared" ca="1" si="10"/>
        <v>0</v>
      </c>
      <c r="S46" s="32">
        <f t="shared" ca="1" si="11"/>
        <v>0</v>
      </c>
      <c r="T46" s="39">
        <f t="shared" ca="1" si="12"/>
        <v>0</v>
      </c>
      <c r="U46" s="42">
        <f t="shared" ca="1" si="13"/>
        <v>0</v>
      </c>
      <c r="V46" s="54">
        <f t="shared" ca="1" si="14"/>
        <v>0</v>
      </c>
      <c r="W46" s="32" t="str">
        <f t="shared" ca="1" si="15"/>
        <v/>
      </c>
    </row>
    <row r="47" spans="1:23">
      <c r="A47" s="32" t="s">
        <v>36</v>
      </c>
      <c r="B47" s="33" t="s">
        <v>241</v>
      </c>
      <c r="C47" s="33" t="s">
        <v>242</v>
      </c>
      <c r="D47" s="30" t="s">
        <v>113</v>
      </c>
      <c r="E47" s="32">
        <f t="shared" ca="1" si="18"/>
        <v>0</v>
      </c>
      <c r="F47" s="37"/>
      <c r="G47" s="39">
        <f t="shared" ca="1" si="19"/>
        <v>0</v>
      </c>
      <c r="H47" s="39">
        <f t="shared" ca="1" si="5"/>
        <v>0</v>
      </c>
      <c r="I47" s="50">
        <f t="shared" ca="1" si="6"/>
        <v>0</v>
      </c>
      <c r="J47" s="37"/>
      <c r="K47" s="39">
        <f t="shared" ca="1" si="20"/>
        <v>0</v>
      </c>
      <c r="L47" s="39">
        <f t="shared" ca="1" si="7"/>
        <v>0</v>
      </c>
      <c r="M47" s="50">
        <f t="shared" ca="1" si="8"/>
        <v>0</v>
      </c>
      <c r="N47" s="32">
        <f t="shared" ca="1" si="21"/>
        <v>0</v>
      </c>
      <c r="O47" s="37"/>
      <c r="P47" s="39">
        <f t="shared" ca="1" si="22"/>
        <v>0</v>
      </c>
      <c r="Q47" s="39">
        <f t="shared" ca="1" si="9"/>
        <v>0</v>
      </c>
      <c r="R47" s="51">
        <f t="shared" ca="1" si="10"/>
        <v>0</v>
      </c>
      <c r="S47" s="32">
        <f t="shared" ca="1" si="11"/>
        <v>0</v>
      </c>
      <c r="T47" s="39">
        <f t="shared" ca="1" si="12"/>
        <v>0</v>
      </c>
      <c r="U47" s="42">
        <f t="shared" ca="1" si="13"/>
        <v>0</v>
      </c>
      <c r="V47" s="54">
        <f t="shared" ca="1" si="14"/>
        <v>0</v>
      </c>
      <c r="W47" s="32" t="str">
        <f t="shared" ca="1" si="15"/>
        <v/>
      </c>
    </row>
    <row r="48" spans="1:23">
      <c r="A48" s="32" t="s">
        <v>36</v>
      </c>
      <c r="B48" s="33" t="s">
        <v>243</v>
      </c>
      <c r="C48" s="33" t="s">
        <v>244</v>
      </c>
      <c r="D48" s="30" t="s">
        <v>114</v>
      </c>
      <c r="E48" s="32">
        <f t="shared" ca="1" si="18"/>
        <v>0</v>
      </c>
      <c r="F48" s="37"/>
      <c r="G48" s="39">
        <f t="shared" ca="1" si="19"/>
        <v>0</v>
      </c>
      <c r="H48" s="39">
        <f t="shared" ca="1" si="5"/>
        <v>0</v>
      </c>
      <c r="I48" s="50">
        <f t="shared" ca="1" si="6"/>
        <v>0</v>
      </c>
      <c r="J48" s="37"/>
      <c r="K48" s="39">
        <f t="shared" ca="1" si="20"/>
        <v>0</v>
      </c>
      <c r="L48" s="39">
        <f t="shared" ca="1" si="7"/>
        <v>0</v>
      </c>
      <c r="M48" s="50">
        <f t="shared" ca="1" si="8"/>
        <v>0</v>
      </c>
      <c r="N48" s="32">
        <f t="shared" ca="1" si="21"/>
        <v>0</v>
      </c>
      <c r="O48" s="37"/>
      <c r="P48" s="39">
        <f t="shared" ca="1" si="22"/>
        <v>0</v>
      </c>
      <c r="Q48" s="39">
        <f t="shared" ca="1" si="9"/>
        <v>0</v>
      </c>
      <c r="R48" s="51">
        <f t="shared" ca="1" si="10"/>
        <v>0</v>
      </c>
      <c r="S48" s="32">
        <f t="shared" ca="1" si="11"/>
        <v>0</v>
      </c>
      <c r="T48" s="39">
        <f t="shared" ca="1" si="12"/>
        <v>0</v>
      </c>
      <c r="U48" s="42">
        <f t="shared" ca="1" si="13"/>
        <v>0</v>
      </c>
      <c r="V48" s="54">
        <f t="shared" ca="1" si="14"/>
        <v>0</v>
      </c>
      <c r="W48" s="32" t="str">
        <f t="shared" ca="1" si="15"/>
        <v/>
      </c>
    </row>
    <row r="49" spans="1:23">
      <c r="A49" s="32" t="s">
        <v>36</v>
      </c>
      <c r="B49" s="33" t="s">
        <v>245</v>
      </c>
      <c r="C49" s="33" t="s">
        <v>246</v>
      </c>
      <c r="D49" s="30" t="s">
        <v>115</v>
      </c>
      <c r="E49" s="32">
        <f t="shared" ca="1" si="18"/>
        <v>0</v>
      </c>
      <c r="F49" s="37"/>
      <c r="G49" s="39">
        <f t="shared" ca="1" si="19"/>
        <v>0</v>
      </c>
      <c r="H49" s="39">
        <f t="shared" ca="1" si="5"/>
        <v>0</v>
      </c>
      <c r="I49" s="50">
        <f t="shared" ca="1" si="6"/>
        <v>0</v>
      </c>
      <c r="J49" s="37"/>
      <c r="K49" s="39">
        <f t="shared" ca="1" si="20"/>
        <v>0</v>
      </c>
      <c r="L49" s="39">
        <f t="shared" ca="1" si="7"/>
        <v>0</v>
      </c>
      <c r="M49" s="50">
        <f t="shared" ca="1" si="8"/>
        <v>0</v>
      </c>
      <c r="N49" s="32">
        <f t="shared" ca="1" si="21"/>
        <v>0</v>
      </c>
      <c r="O49" s="37"/>
      <c r="P49" s="39">
        <f t="shared" ca="1" si="22"/>
        <v>0</v>
      </c>
      <c r="Q49" s="39">
        <f t="shared" ca="1" si="9"/>
        <v>0</v>
      </c>
      <c r="R49" s="51">
        <f t="shared" ca="1" si="10"/>
        <v>0</v>
      </c>
      <c r="S49" s="32">
        <f t="shared" ca="1" si="11"/>
        <v>0</v>
      </c>
      <c r="T49" s="39">
        <f t="shared" ca="1" si="12"/>
        <v>0</v>
      </c>
      <c r="U49" s="42">
        <f t="shared" ca="1" si="13"/>
        <v>0</v>
      </c>
      <c r="V49" s="54">
        <f t="shared" ca="1" si="14"/>
        <v>0</v>
      </c>
      <c r="W49" s="32" t="str">
        <f t="shared" ca="1" si="15"/>
        <v/>
      </c>
    </row>
    <row r="50" spans="1:23">
      <c r="A50" s="32" t="s">
        <v>36</v>
      </c>
      <c r="B50" s="33" t="s">
        <v>247</v>
      </c>
      <c r="C50" s="33" t="s">
        <v>248</v>
      </c>
      <c r="D50" s="30" t="s">
        <v>116</v>
      </c>
      <c r="E50" s="32">
        <f t="shared" ca="1" si="18"/>
        <v>0</v>
      </c>
      <c r="F50" s="37"/>
      <c r="G50" s="39">
        <f t="shared" ca="1" si="19"/>
        <v>0</v>
      </c>
      <c r="H50" s="39">
        <f t="shared" ca="1" si="5"/>
        <v>0</v>
      </c>
      <c r="I50" s="50">
        <f t="shared" ca="1" si="6"/>
        <v>0</v>
      </c>
      <c r="J50" s="37"/>
      <c r="K50" s="39">
        <f t="shared" ca="1" si="20"/>
        <v>0</v>
      </c>
      <c r="L50" s="39">
        <f t="shared" ca="1" si="7"/>
        <v>0</v>
      </c>
      <c r="M50" s="50">
        <f t="shared" ca="1" si="8"/>
        <v>0</v>
      </c>
      <c r="N50" s="32">
        <f t="shared" ca="1" si="21"/>
        <v>0</v>
      </c>
      <c r="O50" s="37"/>
      <c r="P50" s="39">
        <f t="shared" ca="1" si="22"/>
        <v>0</v>
      </c>
      <c r="Q50" s="39">
        <f t="shared" ca="1" si="9"/>
        <v>0</v>
      </c>
      <c r="R50" s="51">
        <f t="shared" ca="1" si="10"/>
        <v>0</v>
      </c>
      <c r="S50" s="32">
        <f t="shared" ca="1" si="11"/>
        <v>0</v>
      </c>
      <c r="T50" s="39">
        <f t="shared" ca="1" si="12"/>
        <v>0</v>
      </c>
      <c r="U50" s="42">
        <f t="shared" ca="1" si="13"/>
        <v>0</v>
      </c>
      <c r="V50" s="54">
        <f t="shared" ca="1" si="14"/>
        <v>0</v>
      </c>
      <c r="W50" s="32" t="str">
        <f t="shared" ca="1" si="15"/>
        <v/>
      </c>
    </row>
    <row r="51" spans="1:23">
      <c r="A51" s="32" t="s">
        <v>36</v>
      </c>
      <c r="B51" s="33" t="s">
        <v>249</v>
      </c>
      <c r="C51" s="33" t="s">
        <v>250</v>
      </c>
      <c r="D51" s="30" t="s">
        <v>117</v>
      </c>
      <c r="E51" s="32">
        <f t="shared" ca="1" si="18"/>
        <v>0</v>
      </c>
      <c r="F51" s="37"/>
      <c r="G51" s="39">
        <f t="shared" ca="1" si="19"/>
        <v>0</v>
      </c>
      <c r="H51" s="39">
        <f t="shared" ca="1" si="5"/>
        <v>0</v>
      </c>
      <c r="I51" s="50">
        <f t="shared" ca="1" si="6"/>
        <v>0</v>
      </c>
      <c r="J51" s="37"/>
      <c r="K51" s="39">
        <f t="shared" ca="1" si="20"/>
        <v>0</v>
      </c>
      <c r="L51" s="39">
        <f t="shared" ca="1" si="7"/>
        <v>0</v>
      </c>
      <c r="M51" s="50">
        <f t="shared" ca="1" si="8"/>
        <v>0</v>
      </c>
      <c r="N51" s="32">
        <f t="shared" ca="1" si="21"/>
        <v>0</v>
      </c>
      <c r="O51" s="37"/>
      <c r="P51" s="39">
        <f t="shared" ca="1" si="22"/>
        <v>0</v>
      </c>
      <c r="Q51" s="39">
        <f t="shared" ca="1" si="9"/>
        <v>0</v>
      </c>
      <c r="R51" s="51">
        <f t="shared" ca="1" si="10"/>
        <v>0</v>
      </c>
      <c r="S51" s="32">
        <f t="shared" ca="1" si="11"/>
        <v>0</v>
      </c>
      <c r="T51" s="39">
        <f t="shared" ca="1" si="12"/>
        <v>0</v>
      </c>
      <c r="U51" s="42">
        <f t="shared" ca="1" si="13"/>
        <v>0</v>
      </c>
      <c r="V51" s="54">
        <f t="shared" ca="1" si="14"/>
        <v>0</v>
      </c>
      <c r="W51" s="32" t="str">
        <f t="shared" ca="1" si="15"/>
        <v/>
      </c>
    </row>
    <row r="52" spans="1:23">
      <c r="A52" s="32" t="s">
        <v>36</v>
      </c>
      <c r="B52" s="33" t="s">
        <v>251</v>
      </c>
      <c r="C52" s="33" t="s">
        <v>252</v>
      </c>
      <c r="D52" s="30" t="s">
        <v>118</v>
      </c>
      <c r="E52" s="32">
        <f t="shared" ca="1" si="18"/>
        <v>0</v>
      </c>
      <c r="F52" s="37"/>
      <c r="G52" s="39">
        <f t="shared" ca="1" si="19"/>
        <v>0</v>
      </c>
      <c r="H52" s="39">
        <f t="shared" ca="1" si="5"/>
        <v>0</v>
      </c>
      <c r="I52" s="50">
        <f t="shared" ca="1" si="6"/>
        <v>0</v>
      </c>
      <c r="J52" s="37"/>
      <c r="K52" s="39">
        <f t="shared" ca="1" si="20"/>
        <v>0</v>
      </c>
      <c r="L52" s="39">
        <f t="shared" ca="1" si="7"/>
        <v>0</v>
      </c>
      <c r="M52" s="50">
        <f t="shared" ca="1" si="8"/>
        <v>0</v>
      </c>
      <c r="N52" s="32">
        <f t="shared" ca="1" si="21"/>
        <v>0</v>
      </c>
      <c r="O52" s="37"/>
      <c r="P52" s="39">
        <f t="shared" ca="1" si="22"/>
        <v>0</v>
      </c>
      <c r="Q52" s="39">
        <f t="shared" ca="1" si="9"/>
        <v>0</v>
      </c>
      <c r="R52" s="51">
        <f t="shared" ca="1" si="10"/>
        <v>0</v>
      </c>
      <c r="S52" s="32">
        <f t="shared" ca="1" si="11"/>
        <v>0</v>
      </c>
      <c r="T52" s="39">
        <f t="shared" ca="1" si="12"/>
        <v>0</v>
      </c>
      <c r="U52" s="42">
        <f t="shared" ca="1" si="13"/>
        <v>0</v>
      </c>
      <c r="V52" s="54">
        <f t="shared" ca="1" si="14"/>
        <v>0</v>
      </c>
      <c r="W52" s="32" t="str">
        <f t="shared" ca="1" si="15"/>
        <v/>
      </c>
    </row>
    <row r="53" spans="1:23">
      <c r="A53" s="32" t="s">
        <v>36</v>
      </c>
      <c r="B53" s="33" t="s">
        <v>253</v>
      </c>
      <c r="C53" s="33" t="s">
        <v>254</v>
      </c>
      <c r="D53" s="30" t="s">
        <v>119</v>
      </c>
      <c r="E53" s="32">
        <f t="shared" ca="1" si="18"/>
        <v>0</v>
      </c>
      <c r="F53" s="37"/>
      <c r="G53" s="39">
        <f t="shared" ca="1" si="19"/>
        <v>0</v>
      </c>
      <c r="H53" s="39">
        <f t="shared" ca="1" si="5"/>
        <v>0</v>
      </c>
      <c r="I53" s="50">
        <f t="shared" ca="1" si="6"/>
        <v>0</v>
      </c>
      <c r="J53" s="37"/>
      <c r="K53" s="39">
        <f t="shared" ca="1" si="20"/>
        <v>0</v>
      </c>
      <c r="L53" s="39">
        <f t="shared" ca="1" si="7"/>
        <v>0</v>
      </c>
      <c r="M53" s="50">
        <f t="shared" ca="1" si="8"/>
        <v>0</v>
      </c>
      <c r="N53" s="32">
        <f t="shared" ca="1" si="21"/>
        <v>0</v>
      </c>
      <c r="O53" s="37"/>
      <c r="P53" s="39">
        <f t="shared" ca="1" si="22"/>
        <v>0</v>
      </c>
      <c r="Q53" s="39">
        <f t="shared" ca="1" si="9"/>
        <v>0</v>
      </c>
      <c r="R53" s="51">
        <f t="shared" ca="1" si="10"/>
        <v>0</v>
      </c>
      <c r="S53" s="32">
        <f t="shared" ca="1" si="11"/>
        <v>0</v>
      </c>
      <c r="T53" s="39">
        <f t="shared" ca="1" si="12"/>
        <v>0</v>
      </c>
      <c r="U53" s="42">
        <f t="shared" ca="1" si="13"/>
        <v>0</v>
      </c>
      <c r="V53" s="54">
        <f t="shared" ca="1" si="14"/>
        <v>0</v>
      </c>
      <c r="W53" s="32" t="str">
        <f t="shared" ca="1" si="15"/>
        <v/>
      </c>
    </row>
    <row r="54" spans="1:23">
      <c r="A54" s="32" t="s">
        <v>36</v>
      </c>
      <c r="B54" s="33" t="s">
        <v>255</v>
      </c>
      <c r="C54" s="33" t="s">
        <v>256</v>
      </c>
      <c r="D54" s="30" t="s">
        <v>120</v>
      </c>
      <c r="E54" s="32">
        <f t="shared" ca="1" si="18"/>
        <v>0</v>
      </c>
      <c r="F54" s="37"/>
      <c r="G54" s="39">
        <f t="shared" ca="1" si="19"/>
        <v>0</v>
      </c>
      <c r="H54" s="39">
        <f t="shared" ca="1" si="5"/>
        <v>0</v>
      </c>
      <c r="I54" s="50">
        <f t="shared" ca="1" si="6"/>
        <v>0</v>
      </c>
      <c r="J54" s="37"/>
      <c r="K54" s="39">
        <f t="shared" ca="1" si="20"/>
        <v>0</v>
      </c>
      <c r="L54" s="39">
        <f t="shared" ca="1" si="7"/>
        <v>0</v>
      </c>
      <c r="M54" s="50">
        <f t="shared" ca="1" si="8"/>
        <v>0</v>
      </c>
      <c r="N54" s="32">
        <f t="shared" ca="1" si="21"/>
        <v>0</v>
      </c>
      <c r="O54" s="37"/>
      <c r="P54" s="39">
        <f t="shared" ca="1" si="22"/>
        <v>0</v>
      </c>
      <c r="Q54" s="39">
        <f t="shared" ca="1" si="9"/>
        <v>0</v>
      </c>
      <c r="R54" s="51">
        <f t="shared" ca="1" si="10"/>
        <v>0</v>
      </c>
      <c r="S54" s="32">
        <f t="shared" ca="1" si="11"/>
        <v>0</v>
      </c>
      <c r="T54" s="39">
        <f t="shared" ca="1" si="12"/>
        <v>0</v>
      </c>
      <c r="U54" s="42">
        <f t="shared" ca="1" si="13"/>
        <v>0</v>
      </c>
      <c r="V54" s="54">
        <f t="shared" ca="1" si="14"/>
        <v>0</v>
      </c>
      <c r="W54" s="32" t="str">
        <f t="shared" ca="1" si="15"/>
        <v/>
      </c>
    </row>
    <row r="55" spans="1:23">
      <c r="A55" s="32" t="s">
        <v>36</v>
      </c>
      <c r="B55" s="33" t="s">
        <v>257</v>
      </c>
      <c r="C55" s="33" t="s">
        <v>258</v>
      </c>
      <c r="D55" s="30" t="s">
        <v>121</v>
      </c>
      <c r="E55" s="32">
        <f t="shared" ca="1" si="18"/>
        <v>0</v>
      </c>
      <c r="F55" s="37"/>
      <c r="G55" s="39">
        <f t="shared" ca="1" si="19"/>
        <v>0</v>
      </c>
      <c r="H55" s="39">
        <f t="shared" ca="1" si="5"/>
        <v>0</v>
      </c>
      <c r="I55" s="50">
        <f t="shared" ca="1" si="6"/>
        <v>0</v>
      </c>
      <c r="J55" s="37"/>
      <c r="K55" s="39">
        <f t="shared" ca="1" si="20"/>
        <v>0</v>
      </c>
      <c r="L55" s="39">
        <f t="shared" ca="1" si="7"/>
        <v>0</v>
      </c>
      <c r="M55" s="50">
        <f t="shared" ca="1" si="8"/>
        <v>0</v>
      </c>
      <c r="N55" s="32">
        <f t="shared" ca="1" si="21"/>
        <v>0</v>
      </c>
      <c r="O55" s="37"/>
      <c r="P55" s="39">
        <f t="shared" ca="1" si="22"/>
        <v>0</v>
      </c>
      <c r="Q55" s="39">
        <f t="shared" ca="1" si="9"/>
        <v>0</v>
      </c>
      <c r="R55" s="51">
        <f t="shared" ca="1" si="10"/>
        <v>0</v>
      </c>
      <c r="S55" s="32">
        <f t="shared" ca="1" si="11"/>
        <v>0</v>
      </c>
      <c r="T55" s="39">
        <f t="shared" ca="1" si="12"/>
        <v>0</v>
      </c>
      <c r="U55" s="42">
        <f t="shared" ca="1" si="13"/>
        <v>0</v>
      </c>
      <c r="V55" s="54">
        <f t="shared" ca="1" si="14"/>
        <v>0</v>
      </c>
      <c r="W55" s="32" t="str">
        <f t="shared" ca="1" si="15"/>
        <v/>
      </c>
    </row>
    <row r="56" spans="1:23">
      <c r="A56" s="32" t="s">
        <v>36</v>
      </c>
      <c r="B56" s="33" t="s">
        <v>259</v>
      </c>
      <c r="C56" s="33" t="s">
        <v>260</v>
      </c>
      <c r="D56" s="30" t="s">
        <v>122</v>
      </c>
      <c r="E56" s="32">
        <f t="shared" ca="1" si="18"/>
        <v>0</v>
      </c>
      <c r="F56" s="37"/>
      <c r="G56" s="39">
        <f t="shared" ca="1" si="19"/>
        <v>0</v>
      </c>
      <c r="H56" s="39">
        <f t="shared" ca="1" si="5"/>
        <v>0</v>
      </c>
      <c r="I56" s="50">
        <f t="shared" ca="1" si="6"/>
        <v>0</v>
      </c>
      <c r="J56" s="37"/>
      <c r="K56" s="39">
        <f t="shared" ca="1" si="20"/>
        <v>0</v>
      </c>
      <c r="L56" s="39">
        <f t="shared" ca="1" si="7"/>
        <v>0</v>
      </c>
      <c r="M56" s="50">
        <f t="shared" ca="1" si="8"/>
        <v>0</v>
      </c>
      <c r="N56" s="32">
        <f t="shared" ca="1" si="21"/>
        <v>0</v>
      </c>
      <c r="O56" s="37"/>
      <c r="P56" s="39">
        <f t="shared" ca="1" si="22"/>
        <v>0</v>
      </c>
      <c r="Q56" s="39">
        <f t="shared" ca="1" si="9"/>
        <v>0</v>
      </c>
      <c r="R56" s="51">
        <f t="shared" ca="1" si="10"/>
        <v>0</v>
      </c>
      <c r="S56" s="32">
        <f t="shared" ca="1" si="11"/>
        <v>0</v>
      </c>
      <c r="T56" s="39">
        <f t="shared" ca="1" si="12"/>
        <v>0</v>
      </c>
      <c r="U56" s="42">
        <f t="shared" ca="1" si="13"/>
        <v>0</v>
      </c>
      <c r="V56" s="54">
        <f t="shared" ca="1" si="14"/>
        <v>0</v>
      </c>
      <c r="W56" s="32" t="str">
        <f t="shared" ca="1" si="15"/>
        <v/>
      </c>
    </row>
    <row r="57" spans="1:23">
      <c r="A57" s="32" t="s">
        <v>36</v>
      </c>
      <c r="B57" s="33" t="s">
        <v>261</v>
      </c>
      <c r="C57" s="33" t="s">
        <v>262</v>
      </c>
      <c r="D57" s="30" t="s">
        <v>123</v>
      </c>
      <c r="E57" s="32">
        <f t="shared" ca="1" si="18"/>
        <v>0</v>
      </c>
      <c r="F57" s="37"/>
      <c r="G57" s="39">
        <f t="shared" ca="1" si="19"/>
        <v>0</v>
      </c>
      <c r="H57" s="39">
        <f t="shared" ca="1" si="5"/>
        <v>0</v>
      </c>
      <c r="I57" s="50">
        <f t="shared" ca="1" si="6"/>
        <v>0</v>
      </c>
      <c r="J57" s="37"/>
      <c r="K57" s="39">
        <f t="shared" ca="1" si="20"/>
        <v>0</v>
      </c>
      <c r="L57" s="39">
        <f t="shared" ca="1" si="7"/>
        <v>0</v>
      </c>
      <c r="M57" s="50">
        <f t="shared" ca="1" si="8"/>
        <v>0</v>
      </c>
      <c r="N57" s="32">
        <f t="shared" ca="1" si="21"/>
        <v>0</v>
      </c>
      <c r="O57" s="37"/>
      <c r="P57" s="39">
        <f t="shared" ca="1" si="22"/>
        <v>0</v>
      </c>
      <c r="Q57" s="39">
        <f t="shared" ca="1" si="9"/>
        <v>0</v>
      </c>
      <c r="R57" s="51">
        <f t="shared" ca="1" si="10"/>
        <v>0</v>
      </c>
      <c r="S57" s="32">
        <f t="shared" ca="1" si="11"/>
        <v>0</v>
      </c>
      <c r="T57" s="39">
        <f t="shared" ca="1" si="12"/>
        <v>0</v>
      </c>
      <c r="U57" s="42">
        <f t="shared" ca="1" si="13"/>
        <v>0</v>
      </c>
      <c r="V57" s="54">
        <f t="shared" ca="1" si="14"/>
        <v>0</v>
      </c>
      <c r="W57" s="32" t="str">
        <f t="shared" ca="1" si="15"/>
        <v/>
      </c>
    </row>
    <row r="58" spans="1:23">
      <c r="A58" s="32" t="s">
        <v>36</v>
      </c>
      <c r="B58" s="33" t="s">
        <v>263</v>
      </c>
      <c r="C58" s="33" t="s">
        <v>264</v>
      </c>
      <c r="D58" s="30" t="s">
        <v>124</v>
      </c>
      <c r="E58" s="32">
        <f t="shared" ca="1" si="18"/>
        <v>0</v>
      </c>
      <c r="F58" s="37"/>
      <c r="G58" s="39">
        <f t="shared" ca="1" si="19"/>
        <v>0</v>
      </c>
      <c r="H58" s="39">
        <f t="shared" ca="1" si="5"/>
        <v>0</v>
      </c>
      <c r="I58" s="50">
        <f t="shared" ca="1" si="6"/>
        <v>0</v>
      </c>
      <c r="J58" s="37"/>
      <c r="K58" s="39">
        <f t="shared" ca="1" si="20"/>
        <v>0</v>
      </c>
      <c r="L58" s="39">
        <f t="shared" ca="1" si="7"/>
        <v>0</v>
      </c>
      <c r="M58" s="50">
        <f t="shared" ca="1" si="8"/>
        <v>0</v>
      </c>
      <c r="N58" s="32">
        <f t="shared" ca="1" si="21"/>
        <v>0</v>
      </c>
      <c r="O58" s="37"/>
      <c r="P58" s="39">
        <f t="shared" ca="1" si="22"/>
        <v>0</v>
      </c>
      <c r="Q58" s="39">
        <f t="shared" ca="1" si="9"/>
        <v>0</v>
      </c>
      <c r="R58" s="51">
        <f t="shared" ca="1" si="10"/>
        <v>0</v>
      </c>
      <c r="S58" s="32">
        <f t="shared" ca="1" si="11"/>
        <v>0</v>
      </c>
      <c r="T58" s="39">
        <f t="shared" ca="1" si="12"/>
        <v>0</v>
      </c>
      <c r="U58" s="42">
        <f t="shared" ca="1" si="13"/>
        <v>0</v>
      </c>
      <c r="V58" s="54">
        <f t="shared" ca="1" si="14"/>
        <v>0</v>
      </c>
      <c r="W58" s="32" t="str">
        <f t="shared" ca="1" si="15"/>
        <v/>
      </c>
    </row>
    <row r="59" spans="1:23">
      <c r="A59" s="32" t="s">
        <v>36</v>
      </c>
      <c r="B59" s="33" t="s">
        <v>265</v>
      </c>
      <c r="C59" s="33" t="s">
        <v>266</v>
      </c>
      <c r="D59" s="30" t="s">
        <v>125</v>
      </c>
      <c r="E59" s="32">
        <f t="shared" ca="1" si="18"/>
        <v>0</v>
      </c>
      <c r="F59" s="37"/>
      <c r="G59" s="39">
        <f t="shared" ca="1" si="19"/>
        <v>0</v>
      </c>
      <c r="H59" s="39">
        <f t="shared" ca="1" si="5"/>
        <v>0</v>
      </c>
      <c r="I59" s="50">
        <f t="shared" ca="1" si="6"/>
        <v>0</v>
      </c>
      <c r="J59" s="37"/>
      <c r="K59" s="39">
        <f t="shared" ca="1" si="20"/>
        <v>0</v>
      </c>
      <c r="L59" s="39">
        <f t="shared" ca="1" si="7"/>
        <v>0</v>
      </c>
      <c r="M59" s="50">
        <f t="shared" ca="1" si="8"/>
        <v>0</v>
      </c>
      <c r="N59" s="32">
        <f t="shared" ca="1" si="21"/>
        <v>0</v>
      </c>
      <c r="O59" s="37"/>
      <c r="P59" s="39">
        <f t="shared" ca="1" si="22"/>
        <v>0</v>
      </c>
      <c r="Q59" s="39">
        <f t="shared" ca="1" si="9"/>
        <v>0</v>
      </c>
      <c r="R59" s="51">
        <f t="shared" ca="1" si="10"/>
        <v>0</v>
      </c>
      <c r="S59" s="32">
        <f t="shared" ca="1" si="11"/>
        <v>0</v>
      </c>
      <c r="T59" s="39">
        <f t="shared" ca="1" si="12"/>
        <v>0</v>
      </c>
      <c r="U59" s="42">
        <f t="shared" ca="1" si="13"/>
        <v>0</v>
      </c>
      <c r="V59" s="54">
        <f t="shared" ca="1" si="14"/>
        <v>0</v>
      </c>
      <c r="W59" s="32" t="str">
        <f t="shared" ca="1" si="15"/>
        <v/>
      </c>
    </row>
    <row r="60" spans="1:23">
      <c r="A60" s="32" t="s">
        <v>36</v>
      </c>
      <c r="B60" s="33" t="s">
        <v>267</v>
      </c>
      <c r="C60" s="33" t="s">
        <v>268</v>
      </c>
      <c r="D60" s="30" t="s">
        <v>126</v>
      </c>
      <c r="E60" s="32">
        <f t="shared" ca="1" si="18"/>
        <v>0</v>
      </c>
      <c r="F60" s="37"/>
      <c r="G60" s="39">
        <f t="shared" ca="1" si="19"/>
        <v>0</v>
      </c>
      <c r="H60" s="39">
        <f t="shared" ca="1" si="5"/>
        <v>0</v>
      </c>
      <c r="I60" s="50">
        <f t="shared" ca="1" si="6"/>
        <v>0</v>
      </c>
      <c r="J60" s="37"/>
      <c r="K60" s="39">
        <f t="shared" ca="1" si="20"/>
        <v>0</v>
      </c>
      <c r="L60" s="39">
        <f t="shared" ca="1" si="7"/>
        <v>0</v>
      </c>
      <c r="M60" s="50">
        <f t="shared" ca="1" si="8"/>
        <v>0</v>
      </c>
      <c r="N60" s="32">
        <f t="shared" ca="1" si="21"/>
        <v>0</v>
      </c>
      <c r="O60" s="37"/>
      <c r="P60" s="39">
        <f t="shared" ca="1" si="22"/>
        <v>0</v>
      </c>
      <c r="Q60" s="39">
        <f t="shared" ca="1" si="9"/>
        <v>0</v>
      </c>
      <c r="R60" s="51">
        <f t="shared" ca="1" si="10"/>
        <v>0</v>
      </c>
      <c r="S60" s="32">
        <f t="shared" ca="1" si="11"/>
        <v>0</v>
      </c>
      <c r="T60" s="39">
        <f t="shared" ca="1" si="12"/>
        <v>0</v>
      </c>
      <c r="U60" s="42">
        <f t="shared" ca="1" si="13"/>
        <v>0</v>
      </c>
      <c r="V60" s="54">
        <f t="shared" ca="1" si="14"/>
        <v>0</v>
      </c>
      <c r="W60" s="32" t="str">
        <f t="shared" ca="1" si="15"/>
        <v/>
      </c>
    </row>
    <row r="61" spans="1:23">
      <c r="A61" s="32" t="s">
        <v>36</v>
      </c>
      <c r="B61" s="33" t="s">
        <v>269</v>
      </c>
      <c r="C61" s="33" t="s">
        <v>270</v>
      </c>
      <c r="D61" s="30" t="s">
        <v>127</v>
      </c>
      <c r="E61" s="32">
        <f t="shared" ca="1" si="18"/>
        <v>0</v>
      </c>
      <c r="F61" s="37"/>
      <c r="G61" s="39">
        <f t="shared" ca="1" si="19"/>
        <v>0</v>
      </c>
      <c r="H61" s="39">
        <f t="shared" ca="1" si="5"/>
        <v>0</v>
      </c>
      <c r="I61" s="50">
        <f t="shared" ca="1" si="6"/>
        <v>0</v>
      </c>
      <c r="J61" s="37"/>
      <c r="K61" s="39">
        <f t="shared" ca="1" si="20"/>
        <v>0</v>
      </c>
      <c r="L61" s="39">
        <f t="shared" ca="1" si="7"/>
        <v>0</v>
      </c>
      <c r="M61" s="50">
        <f t="shared" ca="1" si="8"/>
        <v>0</v>
      </c>
      <c r="N61" s="32">
        <f t="shared" ca="1" si="21"/>
        <v>0</v>
      </c>
      <c r="O61" s="37"/>
      <c r="P61" s="39">
        <f t="shared" ca="1" si="22"/>
        <v>0</v>
      </c>
      <c r="Q61" s="39">
        <f t="shared" ca="1" si="9"/>
        <v>0</v>
      </c>
      <c r="R61" s="51">
        <f t="shared" ca="1" si="10"/>
        <v>0</v>
      </c>
      <c r="S61" s="32">
        <f t="shared" ca="1" si="11"/>
        <v>0</v>
      </c>
      <c r="T61" s="39">
        <f t="shared" ca="1" si="12"/>
        <v>0</v>
      </c>
      <c r="U61" s="42">
        <f t="shared" ca="1" si="13"/>
        <v>0</v>
      </c>
      <c r="V61" s="54">
        <f t="shared" ca="1" si="14"/>
        <v>0</v>
      </c>
      <c r="W61" s="32" t="str">
        <f t="shared" ca="1" si="15"/>
        <v/>
      </c>
    </row>
    <row r="62" spans="1:23">
      <c r="A62" s="32" t="s">
        <v>36</v>
      </c>
      <c r="B62" s="33" t="s">
        <v>271</v>
      </c>
      <c r="C62" s="33" t="s">
        <v>272</v>
      </c>
      <c r="D62" s="30" t="s">
        <v>128</v>
      </c>
      <c r="E62" s="32">
        <f t="shared" ca="1" si="18"/>
        <v>0</v>
      </c>
      <c r="F62" s="37"/>
      <c r="G62" s="39">
        <f t="shared" ca="1" si="19"/>
        <v>0</v>
      </c>
      <c r="H62" s="39">
        <f t="shared" ca="1" si="5"/>
        <v>0</v>
      </c>
      <c r="I62" s="50">
        <f t="shared" ca="1" si="6"/>
        <v>0</v>
      </c>
      <c r="J62" s="37"/>
      <c r="K62" s="39">
        <f t="shared" ca="1" si="20"/>
        <v>0</v>
      </c>
      <c r="L62" s="39">
        <f t="shared" ca="1" si="7"/>
        <v>0</v>
      </c>
      <c r="M62" s="50">
        <f t="shared" ca="1" si="8"/>
        <v>0</v>
      </c>
      <c r="N62" s="32">
        <f t="shared" ca="1" si="21"/>
        <v>0</v>
      </c>
      <c r="O62" s="37"/>
      <c r="P62" s="39">
        <f t="shared" ca="1" si="22"/>
        <v>0</v>
      </c>
      <c r="Q62" s="39">
        <f t="shared" ca="1" si="9"/>
        <v>0</v>
      </c>
      <c r="R62" s="51">
        <f t="shared" ca="1" si="10"/>
        <v>0</v>
      </c>
      <c r="S62" s="32">
        <f t="shared" ca="1" si="11"/>
        <v>0</v>
      </c>
      <c r="T62" s="39">
        <f t="shared" ca="1" si="12"/>
        <v>0</v>
      </c>
      <c r="U62" s="42">
        <f t="shared" ca="1" si="13"/>
        <v>0</v>
      </c>
      <c r="V62" s="54">
        <f t="shared" ca="1" si="14"/>
        <v>0</v>
      </c>
      <c r="W62" s="32" t="str">
        <f t="shared" ca="1" si="15"/>
        <v/>
      </c>
    </row>
    <row r="63" spans="1:23">
      <c r="A63" s="32" t="s">
        <v>36</v>
      </c>
      <c r="B63" s="33" t="s">
        <v>273</v>
      </c>
      <c r="C63" s="33" t="s">
        <v>274</v>
      </c>
      <c r="D63" s="30" t="s">
        <v>129</v>
      </c>
      <c r="E63" s="32">
        <f t="shared" ca="1" si="18"/>
        <v>0</v>
      </c>
      <c r="F63" s="37"/>
      <c r="G63" s="39">
        <f t="shared" ca="1" si="19"/>
        <v>0</v>
      </c>
      <c r="H63" s="39">
        <f t="shared" ca="1" si="5"/>
        <v>0</v>
      </c>
      <c r="I63" s="50">
        <f t="shared" ca="1" si="6"/>
        <v>0</v>
      </c>
      <c r="J63" s="37"/>
      <c r="K63" s="39">
        <f t="shared" ca="1" si="20"/>
        <v>0</v>
      </c>
      <c r="L63" s="39">
        <f t="shared" ca="1" si="7"/>
        <v>0</v>
      </c>
      <c r="M63" s="50">
        <f t="shared" ca="1" si="8"/>
        <v>0</v>
      </c>
      <c r="N63" s="32">
        <f t="shared" ca="1" si="21"/>
        <v>0</v>
      </c>
      <c r="O63" s="37"/>
      <c r="P63" s="39">
        <f t="shared" ca="1" si="22"/>
        <v>0</v>
      </c>
      <c r="Q63" s="39">
        <f t="shared" ca="1" si="9"/>
        <v>0</v>
      </c>
      <c r="R63" s="51">
        <f t="shared" ca="1" si="10"/>
        <v>0</v>
      </c>
      <c r="S63" s="32">
        <f t="shared" ca="1" si="11"/>
        <v>0</v>
      </c>
      <c r="T63" s="39">
        <f t="shared" ca="1" si="12"/>
        <v>0</v>
      </c>
      <c r="U63" s="42">
        <f t="shared" ca="1" si="13"/>
        <v>0</v>
      </c>
      <c r="V63" s="54">
        <f t="shared" ca="1" si="14"/>
        <v>0</v>
      </c>
      <c r="W63" s="32" t="str">
        <f t="shared" ca="1" si="15"/>
        <v/>
      </c>
    </row>
    <row r="64" spans="1:23">
      <c r="A64" s="32" t="s">
        <v>36</v>
      </c>
      <c r="B64" s="33" t="s">
        <v>275</v>
      </c>
      <c r="C64" s="33" t="s">
        <v>276</v>
      </c>
      <c r="D64" s="30" t="s">
        <v>130</v>
      </c>
      <c r="E64" s="32">
        <f t="shared" ca="1" si="18"/>
        <v>0</v>
      </c>
      <c r="F64" s="37"/>
      <c r="G64" s="39">
        <f t="shared" ca="1" si="19"/>
        <v>0</v>
      </c>
      <c r="H64" s="39">
        <f t="shared" ca="1" si="5"/>
        <v>0</v>
      </c>
      <c r="I64" s="50">
        <f t="shared" ca="1" si="6"/>
        <v>0</v>
      </c>
      <c r="J64" s="37"/>
      <c r="K64" s="39">
        <f t="shared" ca="1" si="20"/>
        <v>0</v>
      </c>
      <c r="L64" s="39">
        <f t="shared" ca="1" si="7"/>
        <v>0</v>
      </c>
      <c r="M64" s="50">
        <f t="shared" ca="1" si="8"/>
        <v>0</v>
      </c>
      <c r="N64" s="32">
        <f t="shared" ca="1" si="21"/>
        <v>0</v>
      </c>
      <c r="O64" s="37"/>
      <c r="P64" s="39">
        <f t="shared" ca="1" si="22"/>
        <v>0</v>
      </c>
      <c r="Q64" s="39">
        <f t="shared" ca="1" si="9"/>
        <v>0</v>
      </c>
      <c r="R64" s="51">
        <f t="shared" ca="1" si="10"/>
        <v>0</v>
      </c>
      <c r="S64" s="32">
        <f t="shared" ca="1" si="11"/>
        <v>0</v>
      </c>
      <c r="T64" s="39">
        <f t="shared" ca="1" si="12"/>
        <v>0</v>
      </c>
      <c r="U64" s="42">
        <f t="shared" ca="1" si="13"/>
        <v>0</v>
      </c>
      <c r="V64" s="54">
        <f t="shared" ca="1" si="14"/>
        <v>0</v>
      </c>
      <c r="W64" s="32" t="str">
        <f t="shared" ca="1" si="15"/>
        <v/>
      </c>
    </row>
    <row r="65" spans="1:23">
      <c r="A65" s="32" t="s">
        <v>36</v>
      </c>
      <c r="B65" s="33" t="s">
        <v>277</v>
      </c>
      <c r="C65" s="33" t="s">
        <v>278</v>
      </c>
      <c r="D65" s="30" t="s">
        <v>131</v>
      </c>
      <c r="E65" s="32">
        <f t="shared" ca="1" si="18"/>
        <v>0</v>
      </c>
      <c r="F65" s="37"/>
      <c r="G65" s="39">
        <f t="shared" ca="1" si="19"/>
        <v>0</v>
      </c>
      <c r="H65" s="39">
        <f t="shared" ca="1" si="5"/>
        <v>0</v>
      </c>
      <c r="I65" s="50">
        <f t="shared" ca="1" si="6"/>
        <v>0</v>
      </c>
      <c r="J65" s="37"/>
      <c r="K65" s="39">
        <f t="shared" ca="1" si="20"/>
        <v>0</v>
      </c>
      <c r="L65" s="39">
        <f t="shared" ca="1" si="7"/>
        <v>0</v>
      </c>
      <c r="M65" s="50">
        <f t="shared" ca="1" si="8"/>
        <v>0</v>
      </c>
      <c r="N65" s="32">
        <f t="shared" ca="1" si="21"/>
        <v>0</v>
      </c>
      <c r="O65" s="37"/>
      <c r="P65" s="39">
        <f t="shared" ca="1" si="22"/>
        <v>0</v>
      </c>
      <c r="Q65" s="39">
        <f t="shared" ca="1" si="9"/>
        <v>0</v>
      </c>
      <c r="R65" s="51">
        <f t="shared" ca="1" si="10"/>
        <v>0</v>
      </c>
      <c r="S65" s="32">
        <f t="shared" ca="1" si="11"/>
        <v>0</v>
      </c>
      <c r="T65" s="39">
        <f t="shared" ca="1" si="12"/>
        <v>0</v>
      </c>
      <c r="U65" s="42">
        <f t="shared" ca="1" si="13"/>
        <v>0</v>
      </c>
      <c r="V65" s="54">
        <f t="shared" ca="1" si="14"/>
        <v>0</v>
      </c>
      <c r="W65" s="32" t="str">
        <f t="shared" ca="1" si="15"/>
        <v/>
      </c>
    </row>
    <row r="66" spans="1:23">
      <c r="A66" s="32" t="s">
        <v>36</v>
      </c>
      <c r="B66" s="33" t="s">
        <v>279</v>
      </c>
      <c r="C66" s="33" t="s">
        <v>280</v>
      </c>
      <c r="D66" s="30" t="s">
        <v>132</v>
      </c>
      <c r="E66" s="32">
        <f t="shared" ca="1" si="18"/>
        <v>0</v>
      </c>
      <c r="F66" s="37"/>
      <c r="G66" s="39">
        <f t="shared" ca="1" si="19"/>
        <v>0</v>
      </c>
      <c r="H66" s="39">
        <f t="shared" ca="1" si="5"/>
        <v>0</v>
      </c>
      <c r="I66" s="50">
        <f t="shared" ca="1" si="6"/>
        <v>0</v>
      </c>
      <c r="J66" s="37"/>
      <c r="K66" s="39">
        <f t="shared" ca="1" si="20"/>
        <v>0</v>
      </c>
      <c r="L66" s="39">
        <f t="shared" ca="1" si="7"/>
        <v>0</v>
      </c>
      <c r="M66" s="50">
        <f t="shared" ca="1" si="8"/>
        <v>0</v>
      </c>
      <c r="N66" s="32">
        <f t="shared" ca="1" si="21"/>
        <v>0</v>
      </c>
      <c r="O66" s="37"/>
      <c r="P66" s="39">
        <f t="shared" ca="1" si="22"/>
        <v>0</v>
      </c>
      <c r="Q66" s="39">
        <f t="shared" ca="1" si="9"/>
        <v>0</v>
      </c>
      <c r="R66" s="51">
        <f t="shared" ca="1" si="10"/>
        <v>0</v>
      </c>
      <c r="S66" s="32">
        <f t="shared" ca="1" si="11"/>
        <v>0</v>
      </c>
      <c r="T66" s="39">
        <f t="shared" ca="1" si="12"/>
        <v>0</v>
      </c>
      <c r="U66" s="42">
        <f t="shared" ca="1" si="13"/>
        <v>0</v>
      </c>
      <c r="V66" s="54">
        <f t="shared" ca="1" si="14"/>
        <v>0</v>
      </c>
      <c r="W66" s="32" t="str">
        <f t="shared" ca="1" si="15"/>
        <v/>
      </c>
    </row>
    <row r="67" spans="1:23">
      <c r="A67" s="32" t="s">
        <v>36</v>
      </c>
      <c r="B67" s="33" t="s">
        <v>281</v>
      </c>
      <c r="C67" s="33" t="s">
        <v>282</v>
      </c>
      <c r="D67" s="30" t="s">
        <v>133</v>
      </c>
      <c r="E67" s="32">
        <f t="shared" ca="1" si="18"/>
        <v>0</v>
      </c>
      <c r="F67" s="37"/>
      <c r="G67" s="39">
        <f t="shared" ca="1" si="19"/>
        <v>0</v>
      </c>
      <c r="H67" s="39">
        <f t="shared" ca="1" si="5"/>
        <v>0</v>
      </c>
      <c r="I67" s="50">
        <f t="shared" ca="1" si="6"/>
        <v>0</v>
      </c>
      <c r="J67" s="37"/>
      <c r="K67" s="39">
        <f t="shared" ca="1" si="20"/>
        <v>0</v>
      </c>
      <c r="L67" s="39">
        <f t="shared" ca="1" si="7"/>
        <v>0</v>
      </c>
      <c r="M67" s="50">
        <f t="shared" ca="1" si="8"/>
        <v>0</v>
      </c>
      <c r="N67" s="32">
        <f t="shared" ca="1" si="21"/>
        <v>0</v>
      </c>
      <c r="O67" s="37"/>
      <c r="P67" s="39">
        <f t="shared" ca="1" si="22"/>
        <v>0</v>
      </c>
      <c r="Q67" s="39">
        <f t="shared" ca="1" si="9"/>
        <v>0</v>
      </c>
      <c r="R67" s="51">
        <f t="shared" ca="1" si="10"/>
        <v>0</v>
      </c>
      <c r="S67" s="32">
        <f t="shared" ca="1" si="11"/>
        <v>0</v>
      </c>
      <c r="T67" s="39">
        <f t="shared" ca="1" si="12"/>
        <v>0</v>
      </c>
      <c r="U67" s="42">
        <f t="shared" ca="1" si="13"/>
        <v>0</v>
      </c>
      <c r="V67" s="54">
        <f t="shared" ca="1" si="14"/>
        <v>0</v>
      </c>
      <c r="W67" s="32" t="str">
        <f t="shared" ca="1" si="15"/>
        <v/>
      </c>
    </row>
    <row r="68" spans="1:23">
      <c r="A68" s="32" t="s">
        <v>36</v>
      </c>
      <c r="B68" s="33" t="s">
        <v>283</v>
      </c>
      <c r="C68" s="33" t="s">
        <v>284</v>
      </c>
      <c r="D68" s="30" t="s">
        <v>134</v>
      </c>
      <c r="E68" s="32">
        <f t="shared" ca="1" si="18"/>
        <v>0</v>
      </c>
      <c r="F68" s="37"/>
      <c r="G68" s="39">
        <f t="shared" ca="1" si="19"/>
        <v>0</v>
      </c>
      <c r="H68" s="39">
        <f t="shared" ca="1" si="5"/>
        <v>0</v>
      </c>
      <c r="I68" s="50">
        <f t="shared" ca="1" si="6"/>
        <v>0</v>
      </c>
      <c r="J68" s="37"/>
      <c r="K68" s="39">
        <f t="shared" ca="1" si="20"/>
        <v>0</v>
      </c>
      <c r="L68" s="39">
        <f t="shared" ca="1" si="7"/>
        <v>0</v>
      </c>
      <c r="M68" s="50">
        <f t="shared" ca="1" si="8"/>
        <v>0</v>
      </c>
      <c r="N68" s="32">
        <f t="shared" ca="1" si="21"/>
        <v>0</v>
      </c>
      <c r="O68" s="37"/>
      <c r="P68" s="39">
        <f t="shared" ca="1" si="22"/>
        <v>0</v>
      </c>
      <c r="Q68" s="39">
        <f t="shared" ca="1" si="9"/>
        <v>0</v>
      </c>
      <c r="R68" s="51">
        <f t="shared" ca="1" si="10"/>
        <v>0</v>
      </c>
      <c r="S68" s="32">
        <f t="shared" ca="1" si="11"/>
        <v>0</v>
      </c>
      <c r="T68" s="39">
        <f t="shared" ca="1" si="12"/>
        <v>0</v>
      </c>
      <c r="U68" s="42">
        <f t="shared" ca="1" si="13"/>
        <v>0</v>
      </c>
      <c r="V68" s="54">
        <f t="shared" ca="1" si="14"/>
        <v>0</v>
      </c>
      <c r="W68" s="32" t="str">
        <f t="shared" ca="1" si="15"/>
        <v/>
      </c>
    </row>
    <row r="69" spans="1:23">
      <c r="A69" s="32" t="s">
        <v>36</v>
      </c>
      <c r="B69" s="33" t="s">
        <v>285</v>
      </c>
      <c r="C69" s="33" t="s">
        <v>286</v>
      </c>
      <c r="D69" s="30" t="s">
        <v>135</v>
      </c>
      <c r="E69" s="32">
        <f t="shared" ref="E69:E90" ca="1" si="23">COUNTIFS(INDIRECT(台帳_A通常範囲),"&gt;0",INDIRECT(台帳_氏名範囲),$D69,INDIRECT(台帳_例月範囲),台帳_集計月)</f>
        <v>0</v>
      </c>
      <c r="F69" s="37"/>
      <c r="G69" s="39">
        <f t="shared" ref="G69:G90" ca="1" si="24">SUMIFS(INDIRECT(台帳_A通常範囲),INDIRECT(台帳_氏名範囲),$D69,INDIRECT(台帳_例月範囲),台帳_集計月)</f>
        <v>0</v>
      </c>
      <c r="H69" s="39">
        <f t="shared" ca="1" si="5"/>
        <v>0</v>
      </c>
      <c r="I69" s="50">
        <f t="shared" ca="1" si="6"/>
        <v>0</v>
      </c>
      <c r="J69" s="37"/>
      <c r="K69" s="39">
        <f t="shared" ref="K69:K90" ca="1" si="25">SUMIFS(INDIRECT(台帳_A深夜範囲),INDIRECT(台帳_氏名範囲),$D69,INDIRECT(台帳_例月範囲),台帳_集計月)</f>
        <v>0</v>
      </c>
      <c r="L69" s="39">
        <f t="shared" ca="1" si="7"/>
        <v>0</v>
      </c>
      <c r="M69" s="50">
        <f t="shared" ca="1" si="8"/>
        <v>0</v>
      </c>
      <c r="N69" s="32">
        <f t="shared" ref="N69:N90" ca="1" si="26">COUNTIFS(INDIRECT(台帳_B通常範囲),"&gt;0",INDIRECT(台帳_氏名範囲),$D69,INDIRECT(台帳_例月範囲),台帳_集計月)</f>
        <v>0</v>
      </c>
      <c r="O69" s="37"/>
      <c r="P69" s="39">
        <f t="shared" ref="P69:P90" ca="1" si="27">SUMIFS(INDIRECT(台帳_B通常範囲),INDIRECT(台帳_氏名範囲),$D69,INDIRECT(台帳_例月範囲),台帳_集計月)</f>
        <v>0</v>
      </c>
      <c r="Q69" s="39">
        <f t="shared" ca="1" si="9"/>
        <v>0</v>
      </c>
      <c r="R69" s="51">
        <f t="shared" ca="1" si="10"/>
        <v>0</v>
      </c>
      <c r="S69" s="32">
        <f t="shared" ca="1" si="11"/>
        <v>0</v>
      </c>
      <c r="T69" s="39">
        <f t="shared" ca="1" si="12"/>
        <v>0</v>
      </c>
      <c r="U69" s="42">
        <f t="shared" ca="1" si="13"/>
        <v>0</v>
      </c>
      <c r="V69" s="54">
        <f t="shared" ca="1" si="14"/>
        <v>0</v>
      </c>
      <c r="W69" s="32" t="str">
        <f t="shared" ca="1" si="15"/>
        <v/>
      </c>
    </row>
    <row r="70" spans="1:23">
      <c r="A70" s="32" t="s">
        <v>36</v>
      </c>
      <c r="B70" s="33" t="s">
        <v>287</v>
      </c>
      <c r="C70" s="33" t="s">
        <v>288</v>
      </c>
      <c r="D70" s="30" t="s">
        <v>136</v>
      </c>
      <c r="E70" s="32">
        <f t="shared" ca="1" si="23"/>
        <v>0</v>
      </c>
      <c r="F70" s="37"/>
      <c r="G70" s="39">
        <f t="shared" ca="1" si="24"/>
        <v>0</v>
      </c>
      <c r="H70" s="39">
        <f t="shared" ref="H70:H90" ca="1" si="28">IF(MINUTE(G70)&lt;30,FLOOR(G70,TIME(1,0,0)),CEILING(G70,TIME(1,0,0)))</f>
        <v>0</v>
      </c>
      <c r="I70" s="50">
        <f t="shared" ref="I70:I90" ca="1" si="29">F70*H70/TIME(1,0,0)</f>
        <v>0</v>
      </c>
      <c r="J70" s="37"/>
      <c r="K70" s="39">
        <f t="shared" ca="1" si="25"/>
        <v>0</v>
      </c>
      <c r="L70" s="39">
        <f t="shared" ref="L70:L90" ca="1" si="30">IF(MINUTE(K70)&lt;30,FLOOR(K70,TIME(1,0,0)),CEILING(K70,TIME(1,0,0)))</f>
        <v>0</v>
      </c>
      <c r="M70" s="50">
        <f t="shared" ref="M70:M90" ca="1" si="31">J70*L70/TIME(1,0,0)</f>
        <v>0</v>
      </c>
      <c r="N70" s="32">
        <f t="shared" ca="1" si="26"/>
        <v>0</v>
      </c>
      <c r="O70" s="37"/>
      <c r="P70" s="39">
        <f t="shared" ca="1" si="27"/>
        <v>0</v>
      </c>
      <c r="Q70" s="39">
        <f t="shared" ref="Q70:Q90" ca="1" si="32">IF(MINUTE(P70)&lt;30,FLOOR(P70,TIME(1,0,0)),CEILING(P70,TIME(1,0,0)))</f>
        <v>0</v>
      </c>
      <c r="R70" s="51">
        <f t="shared" ref="R70:R90" ca="1" si="33">O70*Q70/TIME(1,0,0)</f>
        <v>0</v>
      </c>
      <c r="S70" s="32">
        <f t="shared" ref="S70:S90" ca="1" si="34">SUM(E70,N70)</f>
        <v>0</v>
      </c>
      <c r="T70" s="39">
        <f t="shared" ref="T70:T90" ca="1" si="35">SUM(H70,Q70)</f>
        <v>0</v>
      </c>
      <c r="U70" s="42">
        <f t="shared" ref="U70:U90" ca="1" si="36">F70*T70/TIME(1,0,0)</f>
        <v>0</v>
      </c>
      <c r="V70" s="54">
        <f t="shared" ref="V70:V90" ca="1" si="37">SUM(U70,M70)</f>
        <v>0</v>
      </c>
      <c r="W70" s="32" t="str">
        <f t="shared" ref="W70:W90" ca="1" si="38">IF(U70=0,"","振込")</f>
        <v/>
      </c>
    </row>
    <row r="71" spans="1:23">
      <c r="A71" s="32" t="s">
        <v>36</v>
      </c>
      <c r="B71" s="33" t="s">
        <v>289</v>
      </c>
      <c r="C71" s="33" t="s">
        <v>290</v>
      </c>
      <c r="D71" s="30" t="s">
        <v>137</v>
      </c>
      <c r="E71" s="32">
        <f t="shared" ca="1" si="23"/>
        <v>0</v>
      </c>
      <c r="F71" s="37"/>
      <c r="G71" s="39">
        <f t="shared" ca="1" si="24"/>
        <v>0</v>
      </c>
      <c r="H71" s="39">
        <f t="shared" ca="1" si="28"/>
        <v>0</v>
      </c>
      <c r="I71" s="50">
        <f t="shared" ca="1" si="29"/>
        <v>0</v>
      </c>
      <c r="J71" s="37"/>
      <c r="K71" s="39">
        <f t="shared" ca="1" si="25"/>
        <v>0</v>
      </c>
      <c r="L71" s="39">
        <f t="shared" ca="1" si="30"/>
        <v>0</v>
      </c>
      <c r="M71" s="50">
        <f t="shared" ca="1" si="31"/>
        <v>0</v>
      </c>
      <c r="N71" s="32">
        <f t="shared" ca="1" si="26"/>
        <v>0</v>
      </c>
      <c r="O71" s="37"/>
      <c r="P71" s="39">
        <f t="shared" ca="1" si="27"/>
        <v>0</v>
      </c>
      <c r="Q71" s="39">
        <f t="shared" ca="1" si="32"/>
        <v>0</v>
      </c>
      <c r="R71" s="51">
        <f t="shared" ca="1" si="33"/>
        <v>0</v>
      </c>
      <c r="S71" s="32">
        <f t="shared" ca="1" si="34"/>
        <v>0</v>
      </c>
      <c r="T71" s="39">
        <f t="shared" ca="1" si="35"/>
        <v>0</v>
      </c>
      <c r="U71" s="42">
        <f t="shared" ca="1" si="36"/>
        <v>0</v>
      </c>
      <c r="V71" s="54">
        <f t="shared" ca="1" si="37"/>
        <v>0</v>
      </c>
      <c r="W71" s="32" t="str">
        <f t="shared" ca="1" si="38"/>
        <v/>
      </c>
    </row>
    <row r="72" spans="1:23">
      <c r="A72" s="32" t="s">
        <v>36</v>
      </c>
      <c r="B72" s="33" t="s">
        <v>291</v>
      </c>
      <c r="C72" s="33" t="s">
        <v>292</v>
      </c>
      <c r="D72" s="30" t="s">
        <v>138</v>
      </c>
      <c r="E72" s="32">
        <f t="shared" ca="1" si="23"/>
        <v>0</v>
      </c>
      <c r="F72" s="37"/>
      <c r="G72" s="39">
        <f t="shared" ca="1" si="24"/>
        <v>0</v>
      </c>
      <c r="H72" s="39">
        <f t="shared" ca="1" si="28"/>
        <v>0</v>
      </c>
      <c r="I72" s="50">
        <f t="shared" ca="1" si="29"/>
        <v>0</v>
      </c>
      <c r="J72" s="37"/>
      <c r="K72" s="39">
        <f t="shared" ca="1" si="25"/>
        <v>0</v>
      </c>
      <c r="L72" s="39">
        <f t="shared" ca="1" si="30"/>
        <v>0</v>
      </c>
      <c r="M72" s="50">
        <f t="shared" ca="1" si="31"/>
        <v>0</v>
      </c>
      <c r="N72" s="32">
        <f t="shared" ca="1" si="26"/>
        <v>0</v>
      </c>
      <c r="O72" s="37"/>
      <c r="P72" s="39">
        <f t="shared" ca="1" si="27"/>
        <v>0</v>
      </c>
      <c r="Q72" s="39">
        <f t="shared" ca="1" si="32"/>
        <v>0</v>
      </c>
      <c r="R72" s="51">
        <f t="shared" ca="1" si="33"/>
        <v>0</v>
      </c>
      <c r="S72" s="32">
        <f t="shared" ca="1" si="34"/>
        <v>0</v>
      </c>
      <c r="T72" s="39">
        <f t="shared" ca="1" si="35"/>
        <v>0</v>
      </c>
      <c r="U72" s="42">
        <f t="shared" ca="1" si="36"/>
        <v>0</v>
      </c>
      <c r="V72" s="54">
        <f t="shared" ca="1" si="37"/>
        <v>0</v>
      </c>
      <c r="W72" s="32" t="str">
        <f t="shared" ca="1" si="38"/>
        <v/>
      </c>
    </row>
    <row r="73" spans="1:23">
      <c r="A73" s="32" t="s">
        <v>36</v>
      </c>
      <c r="B73" s="33" t="s">
        <v>293</v>
      </c>
      <c r="C73" s="33" t="s">
        <v>294</v>
      </c>
      <c r="D73" s="30" t="s">
        <v>139</v>
      </c>
      <c r="E73" s="32">
        <f t="shared" ca="1" si="23"/>
        <v>0</v>
      </c>
      <c r="F73" s="37"/>
      <c r="G73" s="39">
        <f t="shared" ca="1" si="24"/>
        <v>0</v>
      </c>
      <c r="H73" s="39">
        <f t="shared" ca="1" si="28"/>
        <v>0</v>
      </c>
      <c r="I73" s="50">
        <f t="shared" ca="1" si="29"/>
        <v>0</v>
      </c>
      <c r="J73" s="37"/>
      <c r="K73" s="39">
        <f t="shared" ca="1" si="25"/>
        <v>0</v>
      </c>
      <c r="L73" s="39">
        <f t="shared" ca="1" si="30"/>
        <v>0</v>
      </c>
      <c r="M73" s="50">
        <f t="shared" ca="1" si="31"/>
        <v>0</v>
      </c>
      <c r="N73" s="32">
        <f t="shared" ca="1" si="26"/>
        <v>0</v>
      </c>
      <c r="O73" s="37"/>
      <c r="P73" s="39">
        <f t="shared" ca="1" si="27"/>
        <v>0</v>
      </c>
      <c r="Q73" s="39">
        <f t="shared" ca="1" si="32"/>
        <v>0</v>
      </c>
      <c r="R73" s="51">
        <f t="shared" ca="1" si="33"/>
        <v>0</v>
      </c>
      <c r="S73" s="32">
        <f t="shared" ca="1" si="34"/>
        <v>0</v>
      </c>
      <c r="T73" s="39">
        <f t="shared" ca="1" si="35"/>
        <v>0</v>
      </c>
      <c r="U73" s="42">
        <f t="shared" ca="1" si="36"/>
        <v>0</v>
      </c>
      <c r="V73" s="54">
        <f t="shared" ca="1" si="37"/>
        <v>0</v>
      </c>
      <c r="W73" s="32" t="str">
        <f t="shared" ca="1" si="38"/>
        <v/>
      </c>
    </row>
    <row r="74" spans="1:23">
      <c r="A74" s="32" t="s">
        <v>36</v>
      </c>
      <c r="B74" s="33" t="s">
        <v>295</v>
      </c>
      <c r="C74" s="33" t="s">
        <v>296</v>
      </c>
      <c r="D74" s="30" t="s">
        <v>140</v>
      </c>
      <c r="E74" s="32">
        <f t="shared" ca="1" si="23"/>
        <v>0</v>
      </c>
      <c r="F74" s="37"/>
      <c r="G74" s="39">
        <f t="shared" ca="1" si="24"/>
        <v>0</v>
      </c>
      <c r="H74" s="39">
        <f t="shared" ca="1" si="28"/>
        <v>0</v>
      </c>
      <c r="I74" s="50">
        <f t="shared" ca="1" si="29"/>
        <v>0</v>
      </c>
      <c r="J74" s="37"/>
      <c r="K74" s="39">
        <f t="shared" ca="1" si="25"/>
        <v>0</v>
      </c>
      <c r="L74" s="39">
        <f t="shared" ca="1" si="30"/>
        <v>0</v>
      </c>
      <c r="M74" s="50">
        <f t="shared" ca="1" si="31"/>
        <v>0</v>
      </c>
      <c r="N74" s="32">
        <f t="shared" ca="1" si="26"/>
        <v>0</v>
      </c>
      <c r="O74" s="37"/>
      <c r="P74" s="39">
        <f t="shared" ca="1" si="27"/>
        <v>0</v>
      </c>
      <c r="Q74" s="39">
        <f t="shared" ca="1" si="32"/>
        <v>0</v>
      </c>
      <c r="R74" s="51">
        <f t="shared" ca="1" si="33"/>
        <v>0</v>
      </c>
      <c r="S74" s="32">
        <f t="shared" ca="1" si="34"/>
        <v>0</v>
      </c>
      <c r="T74" s="39">
        <f t="shared" ca="1" si="35"/>
        <v>0</v>
      </c>
      <c r="U74" s="42">
        <f t="shared" ca="1" si="36"/>
        <v>0</v>
      </c>
      <c r="V74" s="54">
        <f t="shared" ca="1" si="37"/>
        <v>0</v>
      </c>
      <c r="W74" s="32" t="str">
        <f t="shared" ca="1" si="38"/>
        <v/>
      </c>
    </row>
    <row r="75" spans="1:23">
      <c r="A75" s="32" t="s">
        <v>36</v>
      </c>
      <c r="B75" s="33" t="s">
        <v>297</v>
      </c>
      <c r="C75" s="33" t="s">
        <v>298</v>
      </c>
      <c r="D75" s="30" t="s">
        <v>141</v>
      </c>
      <c r="E75" s="32">
        <f t="shared" ca="1" si="23"/>
        <v>0</v>
      </c>
      <c r="F75" s="37"/>
      <c r="G75" s="39">
        <f t="shared" ca="1" si="24"/>
        <v>0</v>
      </c>
      <c r="H75" s="39">
        <f t="shared" ca="1" si="28"/>
        <v>0</v>
      </c>
      <c r="I75" s="50">
        <f t="shared" ca="1" si="29"/>
        <v>0</v>
      </c>
      <c r="J75" s="37"/>
      <c r="K75" s="39">
        <f t="shared" ca="1" si="25"/>
        <v>0</v>
      </c>
      <c r="L75" s="39">
        <f t="shared" ca="1" si="30"/>
        <v>0</v>
      </c>
      <c r="M75" s="50">
        <f t="shared" ca="1" si="31"/>
        <v>0</v>
      </c>
      <c r="N75" s="32">
        <f t="shared" ca="1" si="26"/>
        <v>0</v>
      </c>
      <c r="O75" s="37"/>
      <c r="P75" s="39">
        <f t="shared" ca="1" si="27"/>
        <v>0</v>
      </c>
      <c r="Q75" s="39">
        <f t="shared" ca="1" si="32"/>
        <v>0</v>
      </c>
      <c r="R75" s="51">
        <f t="shared" ca="1" si="33"/>
        <v>0</v>
      </c>
      <c r="S75" s="32">
        <f t="shared" ca="1" si="34"/>
        <v>0</v>
      </c>
      <c r="T75" s="39">
        <f t="shared" ca="1" si="35"/>
        <v>0</v>
      </c>
      <c r="U75" s="42">
        <f t="shared" ca="1" si="36"/>
        <v>0</v>
      </c>
      <c r="V75" s="54">
        <f t="shared" ca="1" si="37"/>
        <v>0</v>
      </c>
      <c r="W75" s="32" t="str">
        <f t="shared" ca="1" si="38"/>
        <v/>
      </c>
    </row>
    <row r="76" spans="1:23">
      <c r="A76" s="32" t="s">
        <v>36</v>
      </c>
      <c r="B76" s="33" t="s">
        <v>299</v>
      </c>
      <c r="C76" s="33" t="s">
        <v>300</v>
      </c>
      <c r="D76" s="30" t="s">
        <v>142</v>
      </c>
      <c r="E76" s="32">
        <f t="shared" ca="1" si="23"/>
        <v>0</v>
      </c>
      <c r="F76" s="37"/>
      <c r="G76" s="39">
        <f t="shared" ca="1" si="24"/>
        <v>0</v>
      </c>
      <c r="H76" s="39">
        <f t="shared" ca="1" si="28"/>
        <v>0</v>
      </c>
      <c r="I76" s="50">
        <f t="shared" ca="1" si="29"/>
        <v>0</v>
      </c>
      <c r="J76" s="37"/>
      <c r="K76" s="39">
        <f t="shared" ca="1" si="25"/>
        <v>0</v>
      </c>
      <c r="L76" s="39">
        <f t="shared" ca="1" si="30"/>
        <v>0</v>
      </c>
      <c r="M76" s="50">
        <f t="shared" ca="1" si="31"/>
        <v>0</v>
      </c>
      <c r="N76" s="32">
        <f t="shared" ca="1" si="26"/>
        <v>0</v>
      </c>
      <c r="O76" s="37"/>
      <c r="P76" s="39">
        <f t="shared" ca="1" si="27"/>
        <v>0</v>
      </c>
      <c r="Q76" s="39">
        <f t="shared" ca="1" si="32"/>
        <v>0</v>
      </c>
      <c r="R76" s="51">
        <f t="shared" ca="1" si="33"/>
        <v>0</v>
      </c>
      <c r="S76" s="32">
        <f t="shared" ca="1" si="34"/>
        <v>0</v>
      </c>
      <c r="T76" s="39">
        <f t="shared" ca="1" si="35"/>
        <v>0</v>
      </c>
      <c r="U76" s="42">
        <f t="shared" ca="1" si="36"/>
        <v>0</v>
      </c>
      <c r="V76" s="54">
        <f t="shared" ca="1" si="37"/>
        <v>0</v>
      </c>
      <c r="W76" s="32" t="str">
        <f t="shared" ca="1" si="38"/>
        <v/>
      </c>
    </row>
    <row r="77" spans="1:23">
      <c r="A77" s="32" t="s">
        <v>36</v>
      </c>
      <c r="B77" s="33" t="s">
        <v>301</v>
      </c>
      <c r="C77" s="33" t="s">
        <v>302</v>
      </c>
      <c r="D77" s="30" t="s">
        <v>143</v>
      </c>
      <c r="E77" s="32">
        <f t="shared" ca="1" si="23"/>
        <v>0</v>
      </c>
      <c r="F77" s="37"/>
      <c r="G77" s="39">
        <f t="shared" ca="1" si="24"/>
        <v>0</v>
      </c>
      <c r="H77" s="39">
        <f t="shared" ca="1" si="28"/>
        <v>0</v>
      </c>
      <c r="I77" s="50">
        <f t="shared" ca="1" si="29"/>
        <v>0</v>
      </c>
      <c r="J77" s="37"/>
      <c r="K77" s="39">
        <f t="shared" ca="1" si="25"/>
        <v>0</v>
      </c>
      <c r="L77" s="39">
        <f t="shared" ca="1" si="30"/>
        <v>0</v>
      </c>
      <c r="M77" s="50">
        <f t="shared" ca="1" si="31"/>
        <v>0</v>
      </c>
      <c r="N77" s="32">
        <f t="shared" ca="1" si="26"/>
        <v>0</v>
      </c>
      <c r="O77" s="37"/>
      <c r="P77" s="39">
        <f t="shared" ca="1" si="27"/>
        <v>0</v>
      </c>
      <c r="Q77" s="39">
        <f t="shared" ca="1" si="32"/>
        <v>0</v>
      </c>
      <c r="R77" s="51">
        <f t="shared" ca="1" si="33"/>
        <v>0</v>
      </c>
      <c r="S77" s="32">
        <f t="shared" ca="1" si="34"/>
        <v>0</v>
      </c>
      <c r="T77" s="39">
        <f t="shared" ca="1" si="35"/>
        <v>0</v>
      </c>
      <c r="U77" s="42">
        <f t="shared" ca="1" si="36"/>
        <v>0</v>
      </c>
      <c r="V77" s="54">
        <f t="shared" ca="1" si="37"/>
        <v>0</v>
      </c>
      <c r="W77" s="32" t="str">
        <f t="shared" ca="1" si="38"/>
        <v/>
      </c>
    </row>
    <row r="78" spans="1:23">
      <c r="A78" s="32" t="s">
        <v>36</v>
      </c>
      <c r="B78" s="33" t="s">
        <v>303</v>
      </c>
      <c r="C78" s="33" t="s">
        <v>304</v>
      </c>
      <c r="D78" s="30" t="s">
        <v>144</v>
      </c>
      <c r="E78" s="32">
        <f t="shared" ca="1" si="23"/>
        <v>0</v>
      </c>
      <c r="F78" s="37"/>
      <c r="G78" s="39">
        <f t="shared" ca="1" si="24"/>
        <v>0</v>
      </c>
      <c r="H78" s="39">
        <f t="shared" ca="1" si="28"/>
        <v>0</v>
      </c>
      <c r="I78" s="50">
        <f t="shared" ca="1" si="29"/>
        <v>0</v>
      </c>
      <c r="J78" s="37"/>
      <c r="K78" s="39">
        <f t="shared" ca="1" si="25"/>
        <v>0</v>
      </c>
      <c r="L78" s="39">
        <f t="shared" ca="1" si="30"/>
        <v>0</v>
      </c>
      <c r="M78" s="50">
        <f t="shared" ca="1" si="31"/>
        <v>0</v>
      </c>
      <c r="N78" s="32">
        <f t="shared" ca="1" si="26"/>
        <v>0</v>
      </c>
      <c r="O78" s="37"/>
      <c r="P78" s="39">
        <f t="shared" ca="1" si="27"/>
        <v>0</v>
      </c>
      <c r="Q78" s="39">
        <f t="shared" ca="1" si="32"/>
        <v>0</v>
      </c>
      <c r="R78" s="51">
        <f t="shared" ca="1" si="33"/>
        <v>0</v>
      </c>
      <c r="S78" s="32">
        <f t="shared" ca="1" si="34"/>
        <v>0</v>
      </c>
      <c r="T78" s="39">
        <f t="shared" ca="1" si="35"/>
        <v>0</v>
      </c>
      <c r="U78" s="42">
        <f t="shared" ca="1" si="36"/>
        <v>0</v>
      </c>
      <c r="V78" s="54">
        <f t="shared" ca="1" si="37"/>
        <v>0</v>
      </c>
      <c r="W78" s="32" t="str">
        <f t="shared" ca="1" si="38"/>
        <v/>
      </c>
    </row>
    <row r="79" spans="1:23">
      <c r="A79" s="32" t="s">
        <v>36</v>
      </c>
      <c r="B79" s="33" t="s">
        <v>305</v>
      </c>
      <c r="C79" s="33" t="s">
        <v>306</v>
      </c>
      <c r="D79" s="30" t="s">
        <v>145</v>
      </c>
      <c r="E79" s="32">
        <f t="shared" ca="1" si="23"/>
        <v>0</v>
      </c>
      <c r="F79" s="37"/>
      <c r="G79" s="39">
        <f t="shared" ca="1" si="24"/>
        <v>0</v>
      </c>
      <c r="H79" s="39">
        <f t="shared" ca="1" si="28"/>
        <v>0</v>
      </c>
      <c r="I79" s="50">
        <f t="shared" ca="1" si="29"/>
        <v>0</v>
      </c>
      <c r="J79" s="37"/>
      <c r="K79" s="39">
        <f t="shared" ca="1" si="25"/>
        <v>0</v>
      </c>
      <c r="L79" s="39">
        <f t="shared" ca="1" si="30"/>
        <v>0</v>
      </c>
      <c r="M79" s="50">
        <f t="shared" ca="1" si="31"/>
        <v>0</v>
      </c>
      <c r="N79" s="32">
        <f t="shared" ca="1" si="26"/>
        <v>0</v>
      </c>
      <c r="O79" s="37"/>
      <c r="P79" s="39">
        <f t="shared" ca="1" si="27"/>
        <v>0</v>
      </c>
      <c r="Q79" s="39">
        <f t="shared" ca="1" si="32"/>
        <v>0</v>
      </c>
      <c r="R79" s="51">
        <f t="shared" ca="1" si="33"/>
        <v>0</v>
      </c>
      <c r="S79" s="32">
        <f t="shared" ca="1" si="34"/>
        <v>0</v>
      </c>
      <c r="T79" s="39">
        <f t="shared" ca="1" si="35"/>
        <v>0</v>
      </c>
      <c r="U79" s="42">
        <f t="shared" ca="1" si="36"/>
        <v>0</v>
      </c>
      <c r="V79" s="54">
        <f t="shared" ca="1" si="37"/>
        <v>0</v>
      </c>
      <c r="W79" s="32" t="str">
        <f t="shared" ca="1" si="38"/>
        <v/>
      </c>
    </row>
    <row r="80" spans="1:23">
      <c r="A80" s="32" t="s">
        <v>36</v>
      </c>
      <c r="B80" s="33" t="s">
        <v>307</v>
      </c>
      <c r="C80" s="33" t="s">
        <v>308</v>
      </c>
      <c r="D80" s="30" t="s">
        <v>146</v>
      </c>
      <c r="E80" s="32">
        <f t="shared" ca="1" si="23"/>
        <v>0</v>
      </c>
      <c r="F80" s="37"/>
      <c r="G80" s="39">
        <f t="shared" ca="1" si="24"/>
        <v>0</v>
      </c>
      <c r="H80" s="39">
        <f t="shared" ca="1" si="28"/>
        <v>0</v>
      </c>
      <c r="I80" s="50">
        <f t="shared" ca="1" si="29"/>
        <v>0</v>
      </c>
      <c r="J80" s="37"/>
      <c r="K80" s="39">
        <f t="shared" ca="1" si="25"/>
        <v>0</v>
      </c>
      <c r="L80" s="39">
        <f t="shared" ca="1" si="30"/>
        <v>0</v>
      </c>
      <c r="M80" s="50">
        <f t="shared" ca="1" si="31"/>
        <v>0</v>
      </c>
      <c r="N80" s="32">
        <f t="shared" ca="1" si="26"/>
        <v>0</v>
      </c>
      <c r="O80" s="37"/>
      <c r="P80" s="39">
        <f t="shared" ca="1" si="27"/>
        <v>0</v>
      </c>
      <c r="Q80" s="39">
        <f t="shared" ca="1" si="32"/>
        <v>0</v>
      </c>
      <c r="R80" s="51">
        <f t="shared" ca="1" si="33"/>
        <v>0</v>
      </c>
      <c r="S80" s="32">
        <f t="shared" ca="1" si="34"/>
        <v>0</v>
      </c>
      <c r="T80" s="39">
        <f t="shared" ca="1" si="35"/>
        <v>0</v>
      </c>
      <c r="U80" s="42">
        <f t="shared" ca="1" si="36"/>
        <v>0</v>
      </c>
      <c r="V80" s="54">
        <f t="shared" ca="1" si="37"/>
        <v>0</v>
      </c>
      <c r="W80" s="32" t="str">
        <f t="shared" ca="1" si="38"/>
        <v/>
      </c>
    </row>
    <row r="81" spans="1:23">
      <c r="A81" s="32" t="s">
        <v>36</v>
      </c>
      <c r="B81" s="33" t="s">
        <v>309</v>
      </c>
      <c r="C81" s="33" t="s">
        <v>310</v>
      </c>
      <c r="D81" s="30" t="s">
        <v>147</v>
      </c>
      <c r="E81" s="32">
        <f t="shared" ca="1" si="23"/>
        <v>0</v>
      </c>
      <c r="F81" s="37"/>
      <c r="G81" s="39">
        <f t="shared" ca="1" si="24"/>
        <v>0</v>
      </c>
      <c r="H81" s="39">
        <f t="shared" ca="1" si="28"/>
        <v>0</v>
      </c>
      <c r="I81" s="50">
        <f t="shared" ca="1" si="29"/>
        <v>0</v>
      </c>
      <c r="J81" s="37"/>
      <c r="K81" s="39">
        <f t="shared" ca="1" si="25"/>
        <v>0</v>
      </c>
      <c r="L81" s="39">
        <f t="shared" ca="1" si="30"/>
        <v>0</v>
      </c>
      <c r="M81" s="50">
        <f t="shared" ca="1" si="31"/>
        <v>0</v>
      </c>
      <c r="N81" s="32">
        <f t="shared" ca="1" si="26"/>
        <v>0</v>
      </c>
      <c r="O81" s="37"/>
      <c r="P81" s="39">
        <f t="shared" ca="1" si="27"/>
        <v>0</v>
      </c>
      <c r="Q81" s="39">
        <f t="shared" ca="1" si="32"/>
        <v>0</v>
      </c>
      <c r="R81" s="51">
        <f t="shared" ca="1" si="33"/>
        <v>0</v>
      </c>
      <c r="S81" s="32">
        <f t="shared" ca="1" si="34"/>
        <v>0</v>
      </c>
      <c r="T81" s="39">
        <f t="shared" ca="1" si="35"/>
        <v>0</v>
      </c>
      <c r="U81" s="42">
        <f t="shared" ca="1" si="36"/>
        <v>0</v>
      </c>
      <c r="V81" s="54">
        <f t="shared" ca="1" si="37"/>
        <v>0</v>
      </c>
      <c r="W81" s="32" t="str">
        <f t="shared" ca="1" si="38"/>
        <v/>
      </c>
    </row>
    <row r="82" spans="1:23">
      <c r="A82" s="32" t="s">
        <v>36</v>
      </c>
      <c r="B82" s="33" t="s">
        <v>311</v>
      </c>
      <c r="C82" s="33" t="s">
        <v>312</v>
      </c>
      <c r="D82" s="30" t="s">
        <v>148</v>
      </c>
      <c r="E82" s="32">
        <f t="shared" ca="1" si="23"/>
        <v>0</v>
      </c>
      <c r="F82" s="37"/>
      <c r="G82" s="39">
        <f t="shared" ca="1" si="24"/>
        <v>0</v>
      </c>
      <c r="H82" s="39">
        <f t="shared" ca="1" si="28"/>
        <v>0</v>
      </c>
      <c r="I82" s="50">
        <f t="shared" ca="1" si="29"/>
        <v>0</v>
      </c>
      <c r="J82" s="37"/>
      <c r="K82" s="39">
        <f t="shared" ca="1" si="25"/>
        <v>0</v>
      </c>
      <c r="L82" s="39">
        <f t="shared" ca="1" si="30"/>
        <v>0</v>
      </c>
      <c r="M82" s="50">
        <f t="shared" ca="1" si="31"/>
        <v>0</v>
      </c>
      <c r="N82" s="32">
        <f t="shared" ca="1" si="26"/>
        <v>0</v>
      </c>
      <c r="O82" s="37"/>
      <c r="P82" s="39">
        <f t="shared" ca="1" si="27"/>
        <v>0</v>
      </c>
      <c r="Q82" s="39">
        <f t="shared" ca="1" si="32"/>
        <v>0</v>
      </c>
      <c r="R82" s="51">
        <f t="shared" ca="1" si="33"/>
        <v>0</v>
      </c>
      <c r="S82" s="32">
        <f t="shared" ca="1" si="34"/>
        <v>0</v>
      </c>
      <c r="T82" s="39">
        <f t="shared" ca="1" si="35"/>
        <v>0</v>
      </c>
      <c r="U82" s="42">
        <f t="shared" ca="1" si="36"/>
        <v>0</v>
      </c>
      <c r="V82" s="54">
        <f t="shared" ca="1" si="37"/>
        <v>0</v>
      </c>
      <c r="W82" s="32" t="str">
        <f t="shared" ca="1" si="38"/>
        <v/>
      </c>
    </row>
    <row r="83" spans="1:23">
      <c r="A83" s="32" t="s">
        <v>36</v>
      </c>
      <c r="B83" s="33" t="s">
        <v>313</v>
      </c>
      <c r="C83" s="33" t="s">
        <v>314</v>
      </c>
      <c r="D83" s="30" t="s">
        <v>149</v>
      </c>
      <c r="E83" s="32">
        <f t="shared" ca="1" si="23"/>
        <v>0</v>
      </c>
      <c r="F83" s="37"/>
      <c r="G83" s="39">
        <f t="shared" ca="1" si="24"/>
        <v>0</v>
      </c>
      <c r="H83" s="39">
        <f t="shared" ca="1" si="28"/>
        <v>0</v>
      </c>
      <c r="I83" s="50">
        <f t="shared" ca="1" si="29"/>
        <v>0</v>
      </c>
      <c r="J83" s="37"/>
      <c r="K83" s="39">
        <f t="shared" ca="1" si="25"/>
        <v>0</v>
      </c>
      <c r="L83" s="39">
        <f t="shared" ca="1" si="30"/>
        <v>0</v>
      </c>
      <c r="M83" s="50">
        <f t="shared" ca="1" si="31"/>
        <v>0</v>
      </c>
      <c r="N83" s="32">
        <f t="shared" ca="1" si="26"/>
        <v>0</v>
      </c>
      <c r="O83" s="37"/>
      <c r="P83" s="39">
        <f t="shared" ca="1" si="27"/>
        <v>0</v>
      </c>
      <c r="Q83" s="39">
        <f t="shared" ca="1" si="32"/>
        <v>0</v>
      </c>
      <c r="R83" s="51">
        <f t="shared" ca="1" si="33"/>
        <v>0</v>
      </c>
      <c r="S83" s="32">
        <f t="shared" ca="1" si="34"/>
        <v>0</v>
      </c>
      <c r="T83" s="39">
        <f t="shared" ca="1" si="35"/>
        <v>0</v>
      </c>
      <c r="U83" s="42">
        <f t="shared" ca="1" si="36"/>
        <v>0</v>
      </c>
      <c r="V83" s="54">
        <f t="shared" ca="1" si="37"/>
        <v>0</v>
      </c>
      <c r="W83" s="32" t="str">
        <f t="shared" ca="1" si="38"/>
        <v/>
      </c>
    </row>
    <row r="84" spans="1:23">
      <c r="A84" s="32" t="s">
        <v>36</v>
      </c>
      <c r="B84" s="33" t="s">
        <v>315</v>
      </c>
      <c r="C84" s="33" t="s">
        <v>316</v>
      </c>
      <c r="D84" s="30" t="s">
        <v>150</v>
      </c>
      <c r="E84" s="32">
        <f t="shared" ca="1" si="23"/>
        <v>0</v>
      </c>
      <c r="F84" s="37"/>
      <c r="G84" s="39">
        <f t="shared" ca="1" si="24"/>
        <v>0</v>
      </c>
      <c r="H84" s="39">
        <f t="shared" ca="1" si="28"/>
        <v>0</v>
      </c>
      <c r="I84" s="50">
        <f t="shared" ca="1" si="29"/>
        <v>0</v>
      </c>
      <c r="J84" s="37"/>
      <c r="K84" s="39">
        <f t="shared" ca="1" si="25"/>
        <v>0</v>
      </c>
      <c r="L84" s="39">
        <f t="shared" ca="1" si="30"/>
        <v>0</v>
      </c>
      <c r="M84" s="50">
        <f t="shared" ca="1" si="31"/>
        <v>0</v>
      </c>
      <c r="N84" s="32">
        <f t="shared" ca="1" si="26"/>
        <v>0</v>
      </c>
      <c r="O84" s="37"/>
      <c r="P84" s="39">
        <f t="shared" ca="1" si="27"/>
        <v>0</v>
      </c>
      <c r="Q84" s="39">
        <f t="shared" ca="1" si="32"/>
        <v>0</v>
      </c>
      <c r="R84" s="51">
        <f t="shared" ca="1" si="33"/>
        <v>0</v>
      </c>
      <c r="S84" s="32">
        <f t="shared" ca="1" si="34"/>
        <v>0</v>
      </c>
      <c r="T84" s="39">
        <f t="shared" ca="1" si="35"/>
        <v>0</v>
      </c>
      <c r="U84" s="42">
        <f t="shared" ca="1" si="36"/>
        <v>0</v>
      </c>
      <c r="V84" s="54">
        <f t="shared" ca="1" si="37"/>
        <v>0</v>
      </c>
      <c r="W84" s="32" t="str">
        <f t="shared" ca="1" si="38"/>
        <v/>
      </c>
    </row>
    <row r="85" spans="1:23">
      <c r="A85" s="32" t="s">
        <v>36</v>
      </c>
      <c r="B85" s="33" t="s">
        <v>317</v>
      </c>
      <c r="C85" s="33" t="s">
        <v>318</v>
      </c>
      <c r="D85" s="30" t="s">
        <v>151</v>
      </c>
      <c r="E85" s="32">
        <f t="shared" ca="1" si="23"/>
        <v>0</v>
      </c>
      <c r="F85" s="37"/>
      <c r="G85" s="39">
        <f t="shared" ca="1" si="24"/>
        <v>0</v>
      </c>
      <c r="H85" s="39">
        <f t="shared" ca="1" si="28"/>
        <v>0</v>
      </c>
      <c r="I85" s="50">
        <f t="shared" ca="1" si="29"/>
        <v>0</v>
      </c>
      <c r="J85" s="37"/>
      <c r="K85" s="39">
        <f t="shared" ca="1" si="25"/>
        <v>0</v>
      </c>
      <c r="L85" s="39">
        <f t="shared" ca="1" si="30"/>
        <v>0</v>
      </c>
      <c r="M85" s="50">
        <f t="shared" ca="1" si="31"/>
        <v>0</v>
      </c>
      <c r="N85" s="32">
        <f t="shared" ca="1" si="26"/>
        <v>0</v>
      </c>
      <c r="O85" s="37"/>
      <c r="P85" s="39">
        <f t="shared" ca="1" si="27"/>
        <v>0</v>
      </c>
      <c r="Q85" s="39">
        <f t="shared" ca="1" si="32"/>
        <v>0</v>
      </c>
      <c r="R85" s="51">
        <f t="shared" ca="1" si="33"/>
        <v>0</v>
      </c>
      <c r="S85" s="32">
        <f t="shared" ca="1" si="34"/>
        <v>0</v>
      </c>
      <c r="T85" s="39">
        <f t="shared" ca="1" si="35"/>
        <v>0</v>
      </c>
      <c r="U85" s="42">
        <f t="shared" ca="1" si="36"/>
        <v>0</v>
      </c>
      <c r="V85" s="54">
        <f t="shared" ca="1" si="37"/>
        <v>0</v>
      </c>
      <c r="W85" s="32" t="str">
        <f t="shared" ca="1" si="38"/>
        <v/>
      </c>
    </row>
    <row r="86" spans="1:23">
      <c r="A86" s="32" t="s">
        <v>36</v>
      </c>
      <c r="B86" s="33" t="s">
        <v>319</v>
      </c>
      <c r="C86" s="33" t="s">
        <v>320</v>
      </c>
      <c r="D86" s="30" t="s">
        <v>152</v>
      </c>
      <c r="E86" s="32">
        <f t="shared" ca="1" si="23"/>
        <v>0</v>
      </c>
      <c r="F86" s="37"/>
      <c r="G86" s="39">
        <f t="shared" ca="1" si="24"/>
        <v>0</v>
      </c>
      <c r="H86" s="39">
        <f t="shared" ca="1" si="28"/>
        <v>0</v>
      </c>
      <c r="I86" s="50">
        <f t="shared" ca="1" si="29"/>
        <v>0</v>
      </c>
      <c r="J86" s="37"/>
      <c r="K86" s="39">
        <f t="shared" ca="1" si="25"/>
        <v>0</v>
      </c>
      <c r="L86" s="39">
        <f t="shared" ca="1" si="30"/>
        <v>0</v>
      </c>
      <c r="M86" s="50">
        <f t="shared" ca="1" si="31"/>
        <v>0</v>
      </c>
      <c r="N86" s="32">
        <f t="shared" ca="1" si="26"/>
        <v>0</v>
      </c>
      <c r="O86" s="37"/>
      <c r="P86" s="39">
        <f t="shared" ca="1" si="27"/>
        <v>0</v>
      </c>
      <c r="Q86" s="39">
        <f t="shared" ca="1" si="32"/>
        <v>0</v>
      </c>
      <c r="R86" s="51">
        <f t="shared" ca="1" si="33"/>
        <v>0</v>
      </c>
      <c r="S86" s="32">
        <f t="shared" ca="1" si="34"/>
        <v>0</v>
      </c>
      <c r="T86" s="39">
        <f t="shared" ca="1" si="35"/>
        <v>0</v>
      </c>
      <c r="U86" s="42">
        <f t="shared" ca="1" si="36"/>
        <v>0</v>
      </c>
      <c r="V86" s="54">
        <f t="shared" ca="1" si="37"/>
        <v>0</v>
      </c>
      <c r="W86" s="32" t="str">
        <f t="shared" ca="1" si="38"/>
        <v/>
      </c>
    </row>
    <row r="87" spans="1:23">
      <c r="A87" s="32" t="s">
        <v>36</v>
      </c>
      <c r="B87" s="33" t="s">
        <v>321</v>
      </c>
      <c r="C87" s="33" t="s">
        <v>322</v>
      </c>
      <c r="D87" s="30" t="s">
        <v>153</v>
      </c>
      <c r="E87" s="32">
        <f t="shared" ca="1" si="23"/>
        <v>0</v>
      </c>
      <c r="F87" s="37"/>
      <c r="G87" s="39">
        <f t="shared" ca="1" si="24"/>
        <v>0</v>
      </c>
      <c r="H87" s="39">
        <f t="shared" ca="1" si="28"/>
        <v>0</v>
      </c>
      <c r="I87" s="50">
        <f t="shared" ca="1" si="29"/>
        <v>0</v>
      </c>
      <c r="J87" s="37"/>
      <c r="K87" s="39">
        <f t="shared" ca="1" si="25"/>
        <v>0</v>
      </c>
      <c r="L87" s="39">
        <f t="shared" ca="1" si="30"/>
        <v>0</v>
      </c>
      <c r="M87" s="50">
        <f t="shared" ca="1" si="31"/>
        <v>0</v>
      </c>
      <c r="N87" s="32">
        <f t="shared" ca="1" si="26"/>
        <v>0</v>
      </c>
      <c r="O87" s="37"/>
      <c r="P87" s="39">
        <f t="shared" ca="1" si="27"/>
        <v>0</v>
      </c>
      <c r="Q87" s="39">
        <f t="shared" ca="1" si="32"/>
        <v>0</v>
      </c>
      <c r="R87" s="51">
        <f t="shared" ca="1" si="33"/>
        <v>0</v>
      </c>
      <c r="S87" s="32">
        <f t="shared" ca="1" si="34"/>
        <v>0</v>
      </c>
      <c r="T87" s="39">
        <f t="shared" ca="1" si="35"/>
        <v>0</v>
      </c>
      <c r="U87" s="42">
        <f t="shared" ca="1" si="36"/>
        <v>0</v>
      </c>
      <c r="V87" s="54">
        <f t="shared" ca="1" si="37"/>
        <v>0</v>
      </c>
      <c r="W87" s="32" t="str">
        <f t="shared" ca="1" si="38"/>
        <v/>
      </c>
    </row>
    <row r="88" spans="1:23">
      <c r="A88" s="32" t="s">
        <v>36</v>
      </c>
      <c r="B88" s="33" t="s">
        <v>323</v>
      </c>
      <c r="C88" s="33" t="s">
        <v>324</v>
      </c>
      <c r="D88" s="30" t="s">
        <v>154</v>
      </c>
      <c r="E88" s="32">
        <f t="shared" ca="1" si="23"/>
        <v>0</v>
      </c>
      <c r="F88" s="37"/>
      <c r="G88" s="39">
        <f t="shared" ca="1" si="24"/>
        <v>0</v>
      </c>
      <c r="H88" s="39">
        <f t="shared" ca="1" si="28"/>
        <v>0</v>
      </c>
      <c r="I88" s="50">
        <f t="shared" ca="1" si="29"/>
        <v>0</v>
      </c>
      <c r="J88" s="37"/>
      <c r="K88" s="39">
        <f t="shared" ca="1" si="25"/>
        <v>0</v>
      </c>
      <c r="L88" s="39">
        <f t="shared" ca="1" si="30"/>
        <v>0</v>
      </c>
      <c r="M88" s="50">
        <f t="shared" ca="1" si="31"/>
        <v>0</v>
      </c>
      <c r="N88" s="32">
        <f t="shared" ca="1" si="26"/>
        <v>0</v>
      </c>
      <c r="O88" s="37"/>
      <c r="P88" s="39">
        <f t="shared" ca="1" si="27"/>
        <v>0</v>
      </c>
      <c r="Q88" s="39">
        <f t="shared" ca="1" si="32"/>
        <v>0</v>
      </c>
      <c r="R88" s="51">
        <f t="shared" ca="1" si="33"/>
        <v>0</v>
      </c>
      <c r="S88" s="32">
        <f t="shared" ca="1" si="34"/>
        <v>0</v>
      </c>
      <c r="T88" s="39">
        <f t="shared" ca="1" si="35"/>
        <v>0</v>
      </c>
      <c r="U88" s="42">
        <f t="shared" ca="1" si="36"/>
        <v>0</v>
      </c>
      <c r="V88" s="54">
        <f t="shared" ca="1" si="37"/>
        <v>0</v>
      </c>
      <c r="W88" s="32" t="str">
        <f t="shared" ca="1" si="38"/>
        <v/>
      </c>
    </row>
    <row r="89" spans="1:23">
      <c r="A89" s="32" t="s">
        <v>36</v>
      </c>
      <c r="B89" s="33" t="s">
        <v>325</v>
      </c>
      <c r="C89" s="33" t="s">
        <v>326</v>
      </c>
      <c r="D89" s="30" t="s">
        <v>155</v>
      </c>
      <c r="E89" s="32">
        <f t="shared" ca="1" si="23"/>
        <v>0</v>
      </c>
      <c r="F89" s="37"/>
      <c r="G89" s="39">
        <f t="shared" ca="1" si="24"/>
        <v>0</v>
      </c>
      <c r="H89" s="39">
        <f t="shared" ca="1" si="28"/>
        <v>0</v>
      </c>
      <c r="I89" s="50">
        <f t="shared" ca="1" si="29"/>
        <v>0</v>
      </c>
      <c r="J89" s="37"/>
      <c r="K89" s="39">
        <f t="shared" ca="1" si="25"/>
        <v>0</v>
      </c>
      <c r="L89" s="39">
        <f t="shared" ca="1" si="30"/>
        <v>0</v>
      </c>
      <c r="M89" s="50">
        <f t="shared" ca="1" si="31"/>
        <v>0</v>
      </c>
      <c r="N89" s="32">
        <f t="shared" ca="1" si="26"/>
        <v>0</v>
      </c>
      <c r="O89" s="37"/>
      <c r="P89" s="39">
        <f t="shared" ca="1" si="27"/>
        <v>0</v>
      </c>
      <c r="Q89" s="39">
        <f t="shared" ca="1" si="32"/>
        <v>0</v>
      </c>
      <c r="R89" s="51">
        <f t="shared" ca="1" si="33"/>
        <v>0</v>
      </c>
      <c r="S89" s="32">
        <f t="shared" ca="1" si="34"/>
        <v>0</v>
      </c>
      <c r="T89" s="39">
        <f t="shared" ca="1" si="35"/>
        <v>0</v>
      </c>
      <c r="U89" s="42">
        <f t="shared" ca="1" si="36"/>
        <v>0</v>
      </c>
      <c r="V89" s="54">
        <f t="shared" ca="1" si="37"/>
        <v>0</v>
      </c>
      <c r="W89" s="32" t="str">
        <f t="shared" ca="1" si="38"/>
        <v/>
      </c>
    </row>
    <row r="90" spans="1:23" ht="18.600000000000001" thickBot="1">
      <c r="A90" s="55" t="s">
        <v>36</v>
      </c>
      <c r="B90" s="33" t="s">
        <v>327</v>
      </c>
      <c r="C90" s="33" t="s">
        <v>328</v>
      </c>
      <c r="D90" s="30" t="s">
        <v>156</v>
      </c>
      <c r="E90" s="55">
        <f t="shared" ca="1" si="23"/>
        <v>0</v>
      </c>
      <c r="F90" s="56"/>
      <c r="G90" s="57">
        <f t="shared" ca="1" si="24"/>
        <v>0</v>
      </c>
      <c r="H90" s="57">
        <f t="shared" ca="1" si="28"/>
        <v>0</v>
      </c>
      <c r="I90" s="58">
        <f t="shared" ca="1" si="29"/>
        <v>0</v>
      </c>
      <c r="J90" s="56"/>
      <c r="K90" s="57">
        <f t="shared" ca="1" si="25"/>
        <v>0</v>
      </c>
      <c r="L90" s="57">
        <f t="shared" ca="1" si="30"/>
        <v>0</v>
      </c>
      <c r="M90" s="58">
        <f t="shared" ca="1" si="31"/>
        <v>0</v>
      </c>
      <c r="N90" s="55">
        <f t="shared" ca="1" si="26"/>
        <v>0</v>
      </c>
      <c r="O90" s="56"/>
      <c r="P90" s="57">
        <f t="shared" ca="1" si="27"/>
        <v>0</v>
      </c>
      <c r="Q90" s="57">
        <f t="shared" ca="1" si="32"/>
        <v>0</v>
      </c>
      <c r="R90" s="59">
        <f t="shared" ca="1" si="33"/>
        <v>0</v>
      </c>
      <c r="S90" s="55">
        <f t="shared" ca="1" si="34"/>
        <v>0</v>
      </c>
      <c r="T90" s="57">
        <f t="shared" ca="1" si="35"/>
        <v>0</v>
      </c>
      <c r="U90" s="60">
        <f t="shared" ca="1" si="36"/>
        <v>0</v>
      </c>
      <c r="V90" s="61">
        <f t="shared" ca="1" si="37"/>
        <v>0</v>
      </c>
      <c r="W90" s="55" t="str">
        <f t="shared" ca="1" si="38"/>
        <v/>
      </c>
    </row>
    <row r="91" spans="1:23" ht="18.600000000000001" thickTop="1">
      <c r="A91" s="103" t="s">
        <v>47</v>
      </c>
      <c r="B91" s="103"/>
      <c r="C91" s="103"/>
      <c r="D91" s="103"/>
      <c r="E91" s="62">
        <f ca="1">SUM(E5:E90)</f>
        <v>0</v>
      </c>
      <c r="F91" s="63" t="s">
        <v>53</v>
      </c>
      <c r="G91" s="64">
        <f t="shared" ref="G91:W91" ca="1" si="39">SUM(G5:G90)</f>
        <v>0</v>
      </c>
      <c r="H91" s="64">
        <f t="shared" ca="1" si="39"/>
        <v>0</v>
      </c>
      <c r="I91" s="65">
        <f t="shared" ca="1" si="39"/>
        <v>0</v>
      </c>
      <c r="J91" s="63" t="s">
        <v>53</v>
      </c>
      <c r="K91" s="64">
        <f t="shared" ca="1" si="39"/>
        <v>0</v>
      </c>
      <c r="L91" s="64">
        <f t="shared" ca="1" si="39"/>
        <v>0</v>
      </c>
      <c r="M91" s="65">
        <f t="shared" ca="1" si="39"/>
        <v>0</v>
      </c>
      <c r="N91" s="62">
        <f t="shared" ca="1" si="39"/>
        <v>0</v>
      </c>
      <c r="O91" s="63" t="s">
        <v>53</v>
      </c>
      <c r="P91" s="64">
        <f t="shared" ca="1" si="39"/>
        <v>0</v>
      </c>
      <c r="Q91" s="64">
        <f t="shared" ca="1" si="39"/>
        <v>0</v>
      </c>
      <c r="R91" s="65">
        <f t="shared" ca="1" si="39"/>
        <v>0</v>
      </c>
      <c r="S91" s="62">
        <f t="shared" ca="1" si="39"/>
        <v>0</v>
      </c>
      <c r="T91" s="64">
        <f t="shared" ca="1" si="39"/>
        <v>0</v>
      </c>
      <c r="U91" s="66">
        <f t="shared" ca="1" si="39"/>
        <v>0</v>
      </c>
      <c r="V91" s="66">
        <f t="shared" ca="1" si="39"/>
        <v>0</v>
      </c>
      <c r="W91" s="62">
        <f t="shared" ca="1" si="39"/>
        <v>0</v>
      </c>
    </row>
  </sheetData>
  <mergeCells count="22">
    <mergeCell ref="W2:W4"/>
    <mergeCell ref="E2:M2"/>
    <mergeCell ref="N2:R2"/>
    <mergeCell ref="E3:E4"/>
    <mergeCell ref="F3:I3"/>
    <mergeCell ref="J3:M3"/>
    <mergeCell ref="N3:N4"/>
    <mergeCell ref="O3:O4"/>
    <mergeCell ref="P3:P4"/>
    <mergeCell ref="Q3:Q4"/>
    <mergeCell ref="S3:S4"/>
    <mergeCell ref="T3:T4"/>
    <mergeCell ref="U3:U4"/>
    <mergeCell ref="V3:V4"/>
    <mergeCell ref="S2:V2"/>
    <mergeCell ref="A91:D91"/>
    <mergeCell ref="R3:R4"/>
    <mergeCell ref="A2:D2"/>
    <mergeCell ref="A3:A4"/>
    <mergeCell ref="B3:B4"/>
    <mergeCell ref="C3:C4"/>
    <mergeCell ref="D3:D4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W89"/>
  <sheetViews>
    <sheetView showZeros="0" view="pageBreakPreview" zoomScale="70" zoomScaleNormal="100" zoomScaleSheetLayoutView="70" workbookViewId="0">
      <pane ySplit="3" topLeftCell="A4" activePane="bottomLeft" state="frozen"/>
      <selection pane="bottomLeft" activeCell="I4" sqref="I4"/>
    </sheetView>
  </sheetViews>
  <sheetFormatPr defaultRowHeight="18"/>
  <cols>
    <col min="1" max="1" width="9" style="35"/>
    <col min="2" max="2" width="25.5" bestFit="1" customWidth="1"/>
    <col min="3" max="3" width="9" style="15" customWidth="1"/>
    <col min="4" max="5" width="9" style="36"/>
    <col min="6" max="6" width="9" style="15"/>
    <col min="7" max="7" width="44.59765625" style="45" customWidth="1"/>
    <col min="8" max="8" width="4.69921875" customWidth="1"/>
    <col min="9" max="9" width="13" style="68" bestFit="1" customWidth="1"/>
    <col min="10" max="10" width="4.09765625" customWidth="1"/>
    <col min="11" max="11" width="7.5" style="15" bestFit="1" customWidth="1"/>
    <col min="12" max="12" width="25.5" bestFit="1" customWidth="1"/>
    <col min="13" max="13" width="9" style="15"/>
    <col min="14" max="15" width="9" style="36"/>
    <col min="16" max="16" width="9" style="15"/>
    <col min="17" max="19" width="9" style="36"/>
    <col min="20" max="20" width="9" style="75"/>
    <col min="21" max="21" width="9" style="36"/>
    <col min="22" max="22" width="9" style="15"/>
    <col min="23" max="23" width="16.8984375" style="31" customWidth="1"/>
  </cols>
  <sheetData>
    <row r="1" spans="1:23" ht="27.75" customHeight="1">
      <c r="A1" s="125" t="str">
        <f>"【"&amp;DBCS(TEXT(給与集計!B1,"ggge年m月"))&amp;"分】自家用車使用謝礼明細書"</f>
        <v>【令和５年１月分】自家用車使用謝礼明細書</v>
      </c>
      <c r="B1" s="125"/>
      <c r="C1" s="125"/>
      <c r="D1" s="125"/>
      <c r="E1" s="125"/>
      <c r="F1" s="125"/>
      <c r="G1" s="125"/>
      <c r="K1" s="122" t="str">
        <f>"【"&amp;DBCS(TEXT(給与集計!B1,"ggge年m月"))&amp;"分】特別日勤務謝礼明細書"</f>
        <v>【令和５年１月分】特別日勤務謝礼明細書</v>
      </c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</row>
    <row r="2" spans="1:23" ht="18.600000000000001" thickBot="1">
      <c r="A2" s="126" t="s">
        <v>33</v>
      </c>
      <c r="B2" s="126" t="s">
        <v>64</v>
      </c>
      <c r="C2" s="126" t="s">
        <v>65</v>
      </c>
      <c r="D2" s="126" t="s">
        <v>66</v>
      </c>
      <c r="E2" s="126" t="s">
        <v>67</v>
      </c>
      <c r="F2" s="126" t="s">
        <v>68</v>
      </c>
      <c r="G2" s="127" t="s">
        <v>69</v>
      </c>
      <c r="K2" s="123" t="s">
        <v>54</v>
      </c>
      <c r="L2" s="123" t="s">
        <v>55</v>
      </c>
      <c r="M2" s="123" t="s">
        <v>59</v>
      </c>
      <c r="N2" s="123"/>
      <c r="O2" s="123"/>
      <c r="P2" s="123" t="s">
        <v>60</v>
      </c>
      <c r="Q2" s="123"/>
      <c r="R2" s="123"/>
      <c r="S2" s="124" t="s">
        <v>61</v>
      </c>
      <c r="T2" s="124"/>
      <c r="U2" s="124"/>
      <c r="V2" s="123" t="s">
        <v>23</v>
      </c>
      <c r="W2" s="121" t="s">
        <v>62</v>
      </c>
    </row>
    <row r="3" spans="1:23" ht="18.600000000000001" thickBot="1">
      <c r="A3" s="126"/>
      <c r="B3" s="126"/>
      <c r="C3" s="126"/>
      <c r="D3" s="126"/>
      <c r="E3" s="126"/>
      <c r="F3" s="126"/>
      <c r="G3" s="127"/>
      <c r="I3" s="72" t="s">
        <v>70</v>
      </c>
      <c r="K3" s="123"/>
      <c r="L3" s="123"/>
      <c r="M3" s="32" t="s">
        <v>56</v>
      </c>
      <c r="N3" s="67" t="s">
        <v>57</v>
      </c>
      <c r="O3" s="67" t="s">
        <v>63</v>
      </c>
      <c r="P3" s="32" t="s">
        <v>56</v>
      </c>
      <c r="Q3" s="67" t="s">
        <v>57</v>
      </c>
      <c r="R3" s="67" t="s">
        <v>63</v>
      </c>
      <c r="S3" s="67" t="s">
        <v>63</v>
      </c>
      <c r="T3" s="73" t="s">
        <v>58</v>
      </c>
      <c r="U3" s="67" t="s">
        <v>29</v>
      </c>
      <c r="V3" s="123"/>
      <c r="W3" s="121"/>
    </row>
    <row r="4" spans="1:23">
      <c r="A4" s="33" t="str">
        <f>給与集計!B5</f>
        <v>00001</v>
      </c>
      <c r="B4" s="1" t="str">
        <f>給与集計!D5</f>
        <v>サンプル　太郎1</v>
      </c>
      <c r="C4" s="32">
        <f ca="1">給与集計!S5</f>
        <v>0</v>
      </c>
      <c r="D4" s="37"/>
      <c r="E4" s="37">
        <f ca="1">C4*D4</f>
        <v>0</v>
      </c>
      <c r="F4" s="32" t="str">
        <f ca="1">IF(E4=0,"","振込")</f>
        <v/>
      </c>
      <c r="G4" s="28"/>
      <c r="I4" s="71">
        <v>45045</v>
      </c>
      <c r="K4" s="33" t="str">
        <f>給与集計!B5</f>
        <v>00001</v>
      </c>
      <c r="L4" s="1" t="str">
        <f>給与集計!D5</f>
        <v>サンプル　太郎1</v>
      </c>
      <c r="M4" s="32"/>
      <c r="N4" s="37"/>
      <c r="O4" s="37">
        <f>M4*N4</f>
        <v>0</v>
      </c>
      <c r="P4" s="32"/>
      <c r="Q4" s="37"/>
      <c r="R4" s="37">
        <f>P4*Q4</f>
        <v>0</v>
      </c>
      <c r="S4" s="37">
        <f>SUM(O4,R4)</f>
        <v>0</v>
      </c>
      <c r="T4" s="74"/>
      <c r="U4" s="37">
        <f>S4-T4</f>
        <v>0</v>
      </c>
      <c r="V4" s="32" t="str">
        <f>IF(U4=0,"","振込")</f>
        <v/>
      </c>
      <c r="W4" s="30"/>
    </row>
    <row r="5" spans="1:23">
      <c r="A5" s="33" t="str">
        <f>給与集計!B6</f>
        <v>00002</v>
      </c>
      <c r="B5" s="1" t="str">
        <f>給与集計!D6</f>
        <v>サンプル　太郎2</v>
      </c>
      <c r="C5" s="32">
        <f ca="1">給与集計!S6</f>
        <v>0</v>
      </c>
      <c r="D5" s="37"/>
      <c r="E5" s="37">
        <f t="shared" ref="E5:E68" ca="1" si="0">C5*D5</f>
        <v>0</v>
      </c>
      <c r="F5" s="32" t="str">
        <f t="shared" ref="F5:F68" ca="1" si="1">IF(E5=0,"","振込")</f>
        <v/>
      </c>
      <c r="G5" s="28"/>
      <c r="I5" s="69">
        <v>45049</v>
      </c>
      <c r="K5" s="33" t="str">
        <f>給与集計!B6</f>
        <v>00002</v>
      </c>
      <c r="L5" s="1" t="str">
        <f>給与集計!D6</f>
        <v>サンプル　太郎2</v>
      </c>
      <c r="M5" s="32"/>
      <c r="N5" s="37"/>
      <c r="O5" s="37">
        <f t="shared" ref="O5:O68" si="2">M5*N5</f>
        <v>0</v>
      </c>
      <c r="P5" s="32"/>
      <c r="Q5" s="37"/>
      <c r="R5" s="37">
        <f t="shared" ref="R5:R68" si="3">P5*Q5</f>
        <v>0</v>
      </c>
      <c r="S5" s="37">
        <f t="shared" ref="S5:S68" si="4">SUM(O5,R5)</f>
        <v>0</v>
      </c>
      <c r="T5" s="74"/>
      <c r="U5" s="37">
        <f t="shared" ref="U5:U68" si="5">S5-T5</f>
        <v>0</v>
      </c>
      <c r="V5" s="32" t="str">
        <f t="shared" ref="V5:V68" si="6">IF(U5=0,"","振込")</f>
        <v/>
      </c>
      <c r="W5" s="30"/>
    </row>
    <row r="6" spans="1:23">
      <c r="A6" s="33" t="str">
        <f>給与集計!B7</f>
        <v>00003</v>
      </c>
      <c r="B6" s="1" t="str">
        <f>給与集計!D7</f>
        <v>サンプル　太郎3</v>
      </c>
      <c r="C6" s="32">
        <f ca="1">給与集計!S7</f>
        <v>0</v>
      </c>
      <c r="D6" s="37"/>
      <c r="E6" s="37">
        <f t="shared" ca="1" si="0"/>
        <v>0</v>
      </c>
      <c r="F6" s="32" t="str">
        <f t="shared" ca="1" si="1"/>
        <v/>
      </c>
      <c r="G6" s="28"/>
      <c r="I6" s="69">
        <v>45050</v>
      </c>
      <c r="K6" s="33" t="str">
        <f>給与集計!B7</f>
        <v>00003</v>
      </c>
      <c r="L6" s="1" t="str">
        <f>給与集計!D7</f>
        <v>サンプル　太郎3</v>
      </c>
      <c r="M6" s="32"/>
      <c r="N6" s="37"/>
      <c r="O6" s="37">
        <f t="shared" si="2"/>
        <v>0</v>
      </c>
      <c r="P6" s="32"/>
      <c r="Q6" s="37"/>
      <c r="R6" s="37">
        <f t="shared" si="3"/>
        <v>0</v>
      </c>
      <c r="S6" s="37">
        <f t="shared" si="4"/>
        <v>0</v>
      </c>
      <c r="T6" s="74"/>
      <c r="U6" s="37">
        <f t="shared" si="5"/>
        <v>0</v>
      </c>
      <c r="V6" s="32" t="str">
        <f t="shared" si="6"/>
        <v/>
      </c>
      <c r="W6" s="30"/>
    </row>
    <row r="7" spans="1:23">
      <c r="A7" s="33" t="str">
        <f>給与集計!B8</f>
        <v>00004</v>
      </c>
      <c r="B7" s="1" t="str">
        <f>給与集計!D8</f>
        <v>サンプル　太郎4</v>
      </c>
      <c r="C7" s="32">
        <f ca="1">給与集計!S8</f>
        <v>0</v>
      </c>
      <c r="D7" s="37"/>
      <c r="E7" s="37">
        <f t="shared" ca="1" si="0"/>
        <v>0</v>
      </c>
      <c r="F7" s="32" t="str">
        <f t="shared" ca="1" si="1"/>
        <v/>
      </c>
      <c r="G7" s="28"/>
      <c r="I7" s="69">
        <v>45051</v>
      </c>
      <c r="K7" s="33" t="str">
        <f>給与集計!B8</f>
        <v>00004</v>
      </c>
      <c r="L7" s="1" t="str">
        <f>給与集計!D8</f>
        <v>サンプル　太郎4</v>
      </c>
      <c r="M7" s="32"/>
      <c r="N7" s="37"/>
      <c r="O7" s="37">
        <f t="shared" si="2"/>
        <v>0</v>
      </c>
      <c r="P7" s="32"/>
      <c r="Q7" s="37"/>
      <c r="R7" s="37">
        <f t="shared" si="3"/>
        <v>0</v>
      </c>
      <c r="S7" s="37">
        <f t="shared" si="4"/>
        <v>0</v>
      </c>
      <c r="T7" s="74"/>
      <c r="U7" s="37">
        <f t="shared" si="5"/>
        <v>0</v>
      </c>
      <c r="V7" s="32" t="str">
        <f t="shared" si="6"/>
        <v/>
      </c>
      <c r="W7" s="30"/>
    </row>
    <row r="8" spans="1:23">
      <c r="A8" s="33" t="str">
        <f>給与集計!B9</f>
        <v>00005</v>
      </c>
      <c r="B8" s="1" t="str">
        <f>給与集計!D9</f>
        <v>サンプル　太郎5</v>
      </c>
      <c r="C8" s="32">
        <f ca="1">給与集計!S9</f>
        <v>0</v>
      </c>
      <c r="D8" s="37"/>
      <c r="E8" s="37">
        <f t="shared" ca="1" si="0"/>
        <v>0</v>
      </c>
      <c r="F8" s="32" t="str">
        <f t="shared" ca="1" si="1"/>
        <v/>
      </c>
      <c r="G8" s="28"/>
      <c r="I8" s="69">
        <v>45151</v>
      </c>
      <c r="K8" s="33" t="str">
        <f>給与集計!B9</f>
        <v>00005</v>
      </c>
      <c r="L8" s="1" t="str">
        <f>給与集計!D9</f>
        <v>サンプル　太郎5</v>
      </c>
      <c r="M8" s="32"/>
      <c r="N8" s="37"/>
      <c r="O8" s="37">
        <f t="shared" si="2"/>
        <v>0</v>
      </c>
      <c r="P8" s="32"/>
      <c r="Q8" s="37"/>
      <c r="R8" s="37">
        <f t="shared" si="3"/>
        <v>0</v>
      </c>
      <c r="S8" s="37">
        <f t="shared" si="4"/>
        <v>0</v>
      </c>
      <c r="T8" s="74"/>
      <c r="U8" s="37">
        <f t="shared" si="5"/>
        <v>0</v>
      </c>
      <c r="V8" s="32" t="str">
        <f t="shared" si="6"/>
        <v/>
      </c>
      <c r="W8" s="30"/>
    </row>
    <row r="9" spans="1:23">
      <c r="A9" s="33" t="str">
        <f>給与集計!B10</f>
        <v>00006</v>
      </c>
      <c r="B9" s="1" t="str">
        <f>給与集計!D10</f>
        <v>サンプル　太郎6</v>
      </c>
      <c r="C9" s="32">
        <f ca="1">給与集計!S10</f>
        <v>0</v>
      </c>
      <c r="D9" s="37"/>
      <c r="E9" s="37">
        <f t="shared" ca="1" si="0"/>
        <v>0</v>
      </c>
      <c r="F9" s="32" t="str">
        <f t="shared" ca="1" si="1"/>
        <v/>
      </c>
      <c r="G9" s="28"/>
      <c r="I9" s="69">
        <v>45152</v>
      </c>
      <c r="K9" s="33" t="str">
        <f>給与集計!B10</f>
        <v>00006</v>
      </c>
      <c r="L9" s="1" t="str">
        <f>給与集計!D10</f>
        <v>サンプル　太郎6</v>
      </c>
      <c r="M9" s="32"/>
      <c r="N9" s="37"/>
      <c r="O9" s="37">
        <f t="shared" si="2"/>
        <v>0</v>
      </c>
      <c r="P9" s="32"/>
      <c r="Q9" s="37"/>
      <c r="R9" s="37">
        <f t="shared" si="3"/>
        <v>0</v>
      </c>
      <c r="S9" s="37">
        <f t="shared" si="4"/>
        <v>0</v>
      </c>
      <c r="T9" s="74"/>
      <c r="U9" s="37">
        <f t="shared" si="5"/>
        <v>0</v>
      </c>
      <c r="V9" s="32" t="str">
        <f t="shared" si="6"/>
        <v/>
      </c>
      <c r="W9" s="30"/>
    </row>
    <row r="10" spans="1:23">
      <c r="A10" s="33" t="str">
        <f>給与集計!B11</f>
        <v>00007</v>
      </c>
      <c r="B10" s="1" t="str">
        <f>給与集計!D11</f>
        <v>サンプル　太郎7</v>
      </c>
      <c r="C10" s="32">
        <f ca="1">給与集計!S11</f>
        <v>0</v>
      </c>
      <c r="D10" s="37"/>
      <c r="E10" s="37">
        <f t="shared" ca="1" si="0"/>
        <v>0</v>
      </c>
      <c r="F10" s="32" t="str">
        <f t="shared" ca="1" si="1"/>
        <v/>
      </c>
      <c r="G10" s="28"/>
      <c r="I10" s="69">
        <v>45153</v>
      </c>
      <c r="K10" s="33" t="str">
        <f>給与集計!B11</f>
        <v>00007</v>
      </c>
      <c r="L10" s="1" t="str">
        <f>給与集計!D11</f>
        <v>サンプル　太郎7</v>
      </c>
      <c r="M10" s="32"/>
      <c r="N10" s="37"/>
      <c r="O10" s="37">
        <f t="shared" si="2"/>
        <v>0</v>
      </c>
      <c r="P10" s="32"/>
      <c r="Q10" s="37"/>
      <c r="R10" s="37">
        <f t="shared" si="3"/>
        <v>0</v>
      </c>
      <c r="S10" s="37">
        <f t="shared" si="4"/>
        <v>0</v>
      </c>
      <c r="T10" s="74"/>
      <c r="U10" s="37">
        <f t="shared" si="5"/>
        <v>0</v>
      </c>
      <c r="V10" s="32" t="str">
        <f t="shared" si="6"/>
        <v/>
      </c>
      <c r="W10" s="30"/>
    </row>
    <row r="11" spans="1:23">
      <c r="A11" s="33" t="str">
        <f>給与集計!B12</f>
        <v>00008</v>
      </c>
      <c r="B11" s="1" t="str">
        <f>給与集計!D12</f>
        <v>サンプル　太郎8</v>
      </c>
      <c r="C11" s="32">
        <f ca="1">給与集計!S12</f>
        <v>0</v>
      </c>
      <c r="D11" s="37"/>
      <c r="E11" s="37">
        <f t="shared" ca="1" si="0"/>
        <v>0</v>
      </c>
      <c r="F11" s="32" t="str">
        <f t="shared" ca="1" si="1"/>
        <v/>
      </c>
      <c r="G11" s="28"/>
      <c r="I11" s="69">
        <v>45289</v>
      </c>
      <c r="K11" s="33" t="str">
        <f>給与集計!B12</f>
        <v>00008</v>
      </c>
      <c r="L11" s="1" t="str">
        <f>給与集計!D12</f>
        <v>サンプル　太郎8</v>
      </c>
      <c r="M11" s="32"/>
      <c r="N11" s="37"/>
      <c r="O11" s="37">
        <f t="shared" si="2"/>
        <v>0</v>
      </c>
      <c r="P11" s="32"/>
      <c r="Q11" s="37"/>
      <c r="R11" s="37">
        <f t="shared" si="3"/>
        <v>0</v>
      </c>
      <c r="S11" s="37">
        <f t="shared" si="4"/>
        <v>0</v>
      </c>
      <c r="T11" s="74"/>
      <c r="U11" s="37">
        <f t="shared" si="5"/>
        <v>0</v>
      </c>
      <c r="V11" s="32" t="str">
        <f t="shared" si="6"/>
        <v/>
      </c>
      <c r="W11" s="30"/>
    </row>
    <row r="12" spans="1:23">
      <c r="A12" s="33" t="str">
        <f>給与集計!B13</f>
        <v>00009</v>
      </c>
      <c r="B12" s="1" t="str">
        <f>給与集計!D13</f>
        <v>サンプル　太郎9</v>
      </c>
      <c r="C12" s="32">
        <f ca="1">給与集計!S13</f>
        <v>0</v>
      </c>
      <c r="D12" s="37"/>
      <c r="E12" s="37">
        <f t="shared" ca="1" si="0"/>
        <v>0</v>
      </c>
      <c r="F12" s="32" t="str">
        <f t="shared" ca="1" si="1"/>
        <v/>
      </c>
      <c r="G12" s="28"/>
      <c r="I12" s="69">
        <v>45290</v>
      </c>
      <c r="K12" s="33" t="str">
        <f>給与集計!B13</f>
        <v>00009</v>
      </c>
      <c r="L12" s="1" t="str">
        <f>給与集計!D13</f>
        <v>サンプル　太郎9</v>
      </c>
      <c r="M12" s="32"/>
      <c r="N12" s="37"/>
      <c r="O12" s="37">
        <f t="shared" si="2"/>
        <v>0</v>
      </c>
      <c r="P12" s="32"/>
      <c r="Q12" s="37"/>
      <c r="R12" s="37">
        <f t="shared" si="3"/>
        <v>0</v>
      </c>
      <c r="S12" s="37">
        <f t="shared" si="4"/>
        <v>0</v>
      </c>
      <c r="T12" s="74"/>
      <c r="U12" s="37">
        <f t="shared" si="5"/>
        <v>0</v>
      </c>
      <c r="V12" s="32" t="str">
        <f t="shared" si="6"/>
        <v/>
      </c>
      <c r="W12" s="30"/>
    </row>
    <row r="13" spans="1:23">
      <c r="A13" s="33" t="str">
        <f>給与集計!B14</f>
        <v>00010</v>
      </c>
      <c r="B13" s="1" t="str">
        <f>給与集計!D14</f>
        <v>サンプル　太郎10</v>
      </c>
      <c r="C13" s="32">
        <f ca="1">給与集計!S14</f>
        <v>0</v>
      </c>
      <c r="D13" s="37"/>
      <c r="E13" s="37">
        <f t="shared" ca="1" si="0"/>
        <v>0</v>
      </c>
      <c r="F13" s="32" t="str">
        <f t="shared" ca="1" si="1"/>
        <v/>
      </c>
      <c r="G13" s="28"/>
      <c r="I13" s="69">
        <v>45291</v>
      </c>
      <c r="K13" s="33" t="str">
        <f>給与集計!B14</f>
        <v>00010</v>
      </c>
      <c r="L13" s="1" t="str">
        <f>給与集計!D14</f>
        <v>サンプル　太郎10</v>
      </c>
      <c r="M13" s="32"/>
      <c r="N13" s="37"/>
      <c r="O13" s="37">
        <f t="shared" si="2"/>
        <v>0</v>
      </c>
      <c r="P13" s="32"/>
      <c r="Q13" s="37"/>
      <c r="R13" s="37">
        <f t="shared" si="3"/>
        <v>0</v>
      </c>
      <c r="S13" s="37">
        <f t="shared" si="4"/>
        <v>0</v>
      </c>
      <c r="T13" s="74"/>
      <c r="U13" s="37">
        <f t="shared" si="5"/>
        <v>0</v>
      </c>
      <c r="V13" s="32" t="str">
        <f t="shared" si="6"/>
        <v/>
      </c>
      <c r="W13" s="30"/>
    </row>
    <row r="14" spans="1:23">
      <c r="A14" s="33" t="str">
        <f>給与集計!B15</f>
        <v>00011</v>
      </c>
      <c r="B14" s="1" t="str">
        <f>給与集計!D15</f>
        <v>サンプル　太郎11</v>
      </c>
      <c r="C14" s="32">
        <f ca="1">給与集計!S15</f>
        <v>0</v>
      </c>
      <c r="D14" s="37"/>
      <c r="E14" s="37">
        <f t="shared" ca="1" si="0"/>
        <v>0</v>
      </c>
      <c r="F14" s="32" t="str">
        <f t="shared" ca="1" si="1"/>
        <v/>
      </c>
      <c r="G14" s="28"/>
      <c r="I14" s="69">
        <v>45292</v>
      </c>
      <c r="K14" s="33" t="str">
        <f>給与集計!B15</f>
        <v>00011</v>
      </c>
      <c r="L14" s="1" t="str">
        <f>給与集計!D15</f>
        <v>サンプル　太郎11</v>
      </c>
      <c r="M14" s="32"/>
      <c r="N14" s="37"/>
      <c r="O14" s="37">
        <f t="shared" si="2"/>
        <v>0</v>
      </c>
      <c r="P14" s="32"/>
      <c r="Q14" s="37"/>
      <c r="R14" s="37">
        <f t="shared" si="3"/>
        <v>0</v>
      </c>
      <c r="S14" s="37">
        <f t="shared" si="4"/>
        <v>0</v>
      </c>
      <c r="T14" s="74"/>
      <c r="U14" s="37">
        <f t="shared" si="5"/>
        <v>0</v>
      </c>
      <c r="V14" s="32" t="str">
        <f t="shared" si="6"/>
        <v/>
      </c>
      <c r="W14" s="30"/>
    </row>
    <row r="15" spans="1:23">
      <c r="A15" s="33" t="str">
        <f>給与集計!B16</f>
        <v>00012</v>
      </c>
      <c r="B15" s="1" t="str">
        <f>給与集計!D16</f>
        <v>サンプル　太郎12</v>
      </c>
      <c r="C15" s="32">
        <f ca="1">給与集計!S16</f>
        <v>0</v>
      </c>
      <c r="D15" s="37"/>
      <c r="E15" s="37">
        <f t="shared" ca="1" si="0"/>
        <v>0</v>
      </c>
      <c r="F15" s="32" t="str">
        <f t="shared" ca="1" si="1"/>
        <v/>
      </c>
      <c r="G15" s="28"/>
      <c r="I15" s="69">
        <v>45293</v>
      </c>
      <c r="K15" s="33" t="str">
        <f>給与集計!B16</f>
        <v>00012</v>
      </c>
      <c r="L15" s="1" t="str">
        <f>給与集計!D16</f>
        <v>サンプル　太郎12</v>
      </c>
      <c r="M15" s="32"/>
      <c r="N15" s="37"/>
      <c r="O15" s="37">
        <f t="shared" si="2"/>
        <v>0</v>
      </c>
      <c r="P15" s="32"/>
      <c r="Q15" s="37"/>
      <c r="R15" s="37">
        <f t="shared" si="3"/>
        <v>0</v>
      </c>
      <c r="S15" s="37">
        <f t="shared" si="4"/>
        <v>0</v>
      </c>
      <c r="T15" s="74"/>
      <c r="U15" s="37">
        <f t="shared" si="5"/>
        <v>0</v>
      </c>
      <c r="V15" s="32" t="str">
        <f t="shared" si="6"/>
        <v/>
      </c>
      <c r="W15" s="30"/>
    </row>
    <row r="16" spans="1:23">
      <c r="A16" s="33" t="str">
        <f>給与集計!B17</f>
        <v>00013</v>
      </c>
      <c r="B16" s="1" t="str">
        <f>給与集計!D17</f>
        <v>サンプル　太郎13</v>
      </c>
      <c r="C16" s="32">
        <f ca="1">給与集計!S17</f>
        <v>0</v>
      </c>
      <c r="D16" s="37"/>
      <c r="E16" s="37">
        <f t="shared" ca="1" si="0"/>
        <v>0</v>
      </c>
      <c r="F16" s="32" t="str">
        <f t="shared" ca="1" si="1"/>
        <v/>
      </c>
      <c r="G16" s="28"/>
      <c r="I16" s="69">
        <v>45294</v>
      </c>
      <c r="K16" s="33" t="str">
        <f>給与集計!B17</f>
        <v>00013</v>
      </c>
      <c r="L16" s="1" t="str">
        <f>給与集計!D17</f>
        <v>サンプル　太郎13</v>
      </c>
      <c r="M16" s="32"/>
      <c r="N16" s="37"/>
      <c r="O16" s="37">
        <f t="shared" si="2"/>
        <v>0</v>
      </c>
      <c r="P16" s="32"/>
      <c r="Q16" s="37"/>
      <c r="R16" s="37">
        <f t="shared" si="3"/>
        <v>0</v>
      </c>
      <c r="S16" s="37">
        <f t="shared" si="4"/>
        <v>0</v>
      </c>
      <c r="T16" s="74"/>
      <c r="U16" s="37">
        <f t="shared" si="5"/>
        <v>0</v>
      </c>
      <c r="V16" s="32" t="str">
        <f t="shared" si="6"/>
        <v/>
      </c>
      <c r="W16" s="30"/>
    </row>
    <row r="17" spans="1:23">
      <c r="A17" s="33" t="str">
        <f>給与集計!B18</f>
        <v>00014</v>
      </c>
      <c r="B17" s="1" t="str">
        <f>給与集計!D18</f>
        <v>サンプル　太郎14</v>
      </c>
      <c r="C17" s="32">
        <f ca="1">給与集計!S18</f>
        <v>0</v>
      </c>
      <c r="D17" s="37"/>
      <c r="E17" s="37">
        <f t="shared" ca="1" si="0"/>
        <v>0</v>
      </c>
      <c r="F17" s="32" t="str">
        <f t="shared" ca="1" si="1"/>
        <v/>
      </c>
      <c r="G17" s="28"/>
      <c r="I17" s="69"/>
      <c r="K17" s="33" t="str">
        <f>給与集計!B18</f>
        <v>00014</v>
      </c>
      <c r="L17" s="1" t="str">
        <f>給与集計!D18</f>
        <v>サンプル　太郎14</v>
      </c>
      <c r="M17" s="32"/>
      <c r="N17" s="37"/>
      <c r="O17" s="37">
        <f t="shared" si="2"/>
        <v>0</v>
      </c>
      <c r="P17" s="32"/>
      <c r="Q17" s="37"/>
      <c r="R17" s="37">
        <f t="shared" si="3"/>
        <v>0</v>
      </c>
      <c r="S17" s="37">
        <f t="shared" si="4"/>
        <v>0</v>
      </c>
      <c r="T17" s="74"/>
      <c r="U17" s="37">
        <f t="shared" si="5"/>
        <v>0</v>
      </c>
      <c r="V17" s="32" t="str">
        <f t="shared" si="6"/>
        <v/>
      </c>
      <c r="W17" s="30"/>
    </row>
    <row r="18" spans="1:23">
      <c r="A18" s="33" t="str">
        <f>給与集計!B19</f>
        <v>00015</v>
      </c>
      <c r="B18" s="1" t="str">
        <f>給与集計!D19</f>
        <v>サンプル　太郎15</v>
      </c>
      <c r="C18" s="32">
        <f ca="1">給与集計!S19</f>
        <v>0</v>
      </c>
      <c r="D18" s="37"/>
      <c r="E18" s="37">
        <f t="shared" ca="1" si="0"/>
        <v>0</v>
      </c>
      <c r="F18" s="32" t="str">
        <f t="shared" ca="1" si="1"/>
        <v/>
      </c>
      <c r="G18" s="28"/>
      <c r="I18" s="69"/>
      <c r="K18" s="33" t="str">
        <f>給与集計!B19</f>
        <v>00015</v>
      </c>
      <c r="L18" s="1" t="str">
        <f>給与集計!D19</f>
        <v>サンプル　太郎15</v>
      </c>
      <c r="M18" s="32"/>
      <c r="N18" s="37"/>
      <c r="O18" s="37">
        <f t="shared" si="2"/>
        <v>0</v>
      </c>
      <c r="P18" s="32"/>
      <c r="Q18" s="37"/>
      <c r="R18" s="37">
        <f t="shared" si="3"/>
        <v>0</v>
      </c>
      <c r="S18" s="37">
        <f t="shared" si="4"/>
        <v>0</v>
      </c>
      <c r="T18" s="74"/>
      <c r="U18" s="37">
        <f t="shared" si="5"/>
        <v>0</v>
      </c>
      <c r="V18" s="32" t="str">
        <f t="shared" si="6"/>
        <v/>
      </c>
      <c r="W18" s="30"/>
    </row>
    <row r="19" spans="1:23">
      <c r="A19" s="33" t="str">
        <f>給与集計!B20</f>
        <v>00016</v>
      </c>
      <c r="B19" s="1" t="str">
        <f>給与集計!D20</f>
        <v>サンプル　太郎16</v>
      </c>
      <c r="C19" s="32">
        <f ca="1">給与集計!S20</f>
        <v>0</v>
      </c>
      <c r="D19" s="37"/>
      <c r="E19" s="37">
        <f t="shared" ca="1" si="0"/>
        <v>0</v>
      </c>
      <c r="F19" s="32" t="str">
        <f t="shared" ca="1" si="1"/>
        <v/>
      </c>
      <c r="G19" s="28"/>
      <c r="I19" s="69"/>
      <c r="K19" s="33" t="str">
        <f>給与集計!B20</f>
        <v>00016</v>
      </c>
      <c r="L19" s="1" t="str">
        <f>給与集計!D20</f>
        <v>サンプル　太郎16</v>
      </c>
      <c r="M19" s="32"/>
      <c r="N19" s="37"/>
      <c r="O19" s="37">
        <f t="shared" si="2"/>
        <v>0</v>
      </c>
      <c r="P19" s="32"/>
      <c r="Q19" s="37"/>
      <c r="R19" s="37">
        <f t="shared" si="3"/>
        <v>0</v>
      </c>
      <c r="S19" s="37">
        <f t="shared" si="4"/>
        <v>0</v>
      </c>
      <c r="T19" s="74"/>
      <c r="U19" s="37">
        <f t="shared" si="5"/>
        <v>0</v>
      </c>
      <c r="V19" s="32" t="str">
        <f t="shared" si="6"/>
        <v/>
      </c>
      <c r="W19" s="30"/>
    </row>
    <row r="20" spans="1:23">
      <c r="A20" s="33" t="str">
        <f>給与集計!B21</f>
        <v>00017</v>
      </c>
      <c r="B20" s="1" t="str">
        <f>給与集計!D21</f>
        <v>サンプル　太郎17</v>
      </c>
      <c r="C20" s="32">
        <f ca="1">給与集計!S21</f>
        <v>0</v>
      </c>
      <c r="D20" s="37"/>
      <c r="E20" s="37">
        <f t="shared" ca="1" si="0"/>
        <v>0</v>
      </c>
      <c r="F20" s="32" t="str">
        <f t="shared" ca="1" si="1"/>
        <v/>
      </c>
      <c r="G20" s="28"/>
      <c r="I20" s="69"/>
      <c r="K20" s="33" t="str">
        <f>給与集計!B21</f>
        <v>00017</v>
      </c>
      <c r="L20" s="1" t="str">
        <f>給与集計!D21</f>
        <v>サンプル　太郎17</v>
      </c>
      <c r="M20" s="32"/>
      <c r="N20" s="37"/>
      <c r="O20" s="37">
        <f t="shared" si="2"/>
        <v>0</v>
      </c>
      <c r="P20" s="32"/>
      <c r="Q20" s="37"/>
      <c r="R20" s="37">
        <f t="shared" si="3"/>
        <v>0</v>
      </c>
      <c r="S20" s="37">
        <f t="shared" si="4"/>
        <v>0</v>
      </c>
      <c r="T20" s="74"/>
      <c r="U20" s="37">
        <f t="shared" si="5"/>
        <v>0</v>
      </c>
      <c r="V20" s="32" t="str">
        <f t="shared" si="6"/>
        <v/>
      </c>
      <c r="W20" s="30"/>
    </row>
    <row r="21" spans="1:23">
      <c r="A21" s="33" t="str">
        <f>給与集計!B22</f>
        <v>00018</v>
      </c>
      <c r="B21" s="1" t="str">
        <f>給与集計!D22</f>
        <v>サンプル　太郎18</v>
      </c>
      <c r="C21" s="32">
        <f ca="1">給与集計!S22</f>
        <v>0</v>
      </c>
      <c r="D21" s="37"/>
      <c r="E21" s="37">
        <f t="shared" ca="1" si="0"/>
        <v>0</v>
      </c>
      <c r="F21" s="32" t="str">
        <f t="shared" ca="1" si="1"/>
        <v/>
      </c>
      <c r="G21" s="28"/>
      <c r="I21" s="69"/>
      <c r="K21" s="33" t="str">
        <f>給与集計!B22</f>
        <v>00018</v>
      </c>
      <c r="L21" s="1" t="str">
        <f>給与集計!D22</f>
        <v>サンプル　太郎18</v>
      </c>
      <c r="M21" s="32"/>
      <c r="N21" s="37"/>
      <c r="O21" s="37">
        <f t="shared" si="2"/>
        <v>0</v>
      </c>
      <c r="P21" s="32"/>
      <c r="Q21" s="37"/>
      <c r="R21" s="37">
        <f t="shared" si="3"/>
        <v>0</v>
      </c>
      <c r="S21" s="37">
        <f t="shared" si="4"/>
        <v>0</v>
      </c>
      <c r="T21" s="74"/>
      <c r="U21" s="37">
        <f t="shared" si="5"/>
        <v>0</v>
      </c>
      <c r="V21" s="32" t="str">
        <f t="shared" si="6"/>
        <v/>
      </c>
      <c r="W21" s="30"/>
    </row>
    <row r="22" spans="1:23">
      <c r="A22" s="33" t="str">
        <f>給与集計!B23</f>
        <v>00019</v>
      </c>
      <c r="B22" s="1" t="str">
        <f>給与集計!D23</f>
        <v>サンプル　太郎19</v>
      </c>
      <c r="C22" s="32">
        <f ca="1">給与集計!S23</f>
        <v>0</v>
      </c>
      <c r="D22" s="37"/>
      <c r="E22" s="37">
        <f t="shared" ca="1" si="0"/>
        <v>0</v>
      </c>
      <c r="F22" s="32" t="str">
        <f t="shared" ca="1" si="1"/>
        <v/>
      </c>
      <c r="G22" s="28"/>
      <c r="I22" s="69"/>
      <c r="K22" s="33" t="str">
        <f>給与集計!B23</f>
        <v>00019</v>
      </c>
      <c r="L22" s="1" t="str">
        <f>給与集計!D23</f>
        <v>サンプル　太郎19</v>
      </c>
      <c r="M22" s="32"/>
      <c r="N22" s="37"/>
      <c r="O22" s="37">
        <f t="shared" si="2"/>
        <v>0</v>
      </c>
      <c r="P22" s="32"/>
      <c r="Q22" s="37"/>
      <c r="R22" s="37">
        <f t="shared" si="3"/>
        <v>0</v>
      </c>
      <c r="S22" s="37">
        <f t="shared" si="4"/>
        <v>0</v>
      </c>
      <c r="T22" s="74"/>
      <c r="U22" s="37">
        <f t="shared" si="5"/>
        <v>0</v>
      </c>
      <c r="V22" s="32" t="str">
        <f t="shared" si="6"/>
        <v/>
      </c>
      <c r="W22" s="30"/>
    </row>
    <row r="23" spans="1:23" ht="18.600000000000001" thickBot="1">
      <c r="A23" s="33" t="str">
        <f>給与集計!B24</f>
        <v>00020</v>
      </c>
      <c r="B23" s="1" t="str">
        <f>給与集計!D24</f>
        <v>サンプル　太郎20</v>
      </c>
      <c r="C23" s="32">
        <f ca="1">給与集計!S24</f>
        <v>0</v>
      </c>
      <c r="D23" s="37"/>
      <c r="E23" s="37">
        <f t="shared" ca="1" si="0"/>
        <v>0</v>
      </c>
      <c r="F23" s="32" t="str">
        <f t="shared" ca="1" si="1"/>
        <v/>
      </c>
      <c r="G23" s="28"/>
      <c r="I23" s="70"/>
      <c r="K23" s="33" t="str">
        <f>給与集計!B24</f>
        <v>00020</v>
      </c>
      <c r="L23" s="1" t="str">
        <f>給与集計!D24</f>
        <v>サンプル　太郎20</v>
      </c>
      <c r="M23" s="32"/>
      <c r="N23" s="37"/>
      <c r="O23" s="37">
        <f t="shared" si="2"/>
        <v>0</v>
      </c>
      <c r="P23" s="32"/>
      <c r="Q23" s="37"/>
      <c r="R23" s="37">
        <f t="shared" si="3"/>
        <v>0</v>
      </c>
      <c r="S23" s="37">
        <f t="shared" si="4"/>
        <v>0</v>
      </c>
      <c r="T23" s="74"/>
      <c r="U23" s="37">
        <f t="shared" si="5"/>
        <v>0</v>
      </c>
      <c r="V23" s="32" t="str">
        <f t="shared" si="6"/>
        <v/>
      </c>
      <c r="W23" s="30"/>
    </row>
    <row r="24" spans="1:23">
      <c r="A24" s="33" t="str">
        <f>給与集計!B25</f>
        <v>00021</v>
      </c>
      <c r="B24" s="1" t="str">
        <f>給与集計!D25</f>
        <v>サンプル　太郎21</v>
      </c>
      <c r="C24" s="32">
        <f ca="1">給与集計!S25</f>
        <v>0</v>
      </c>
      <c r="D24" s="37"/>
      <c r="E24" s="37">
        <f t="shared" ca="1" si="0"/>
        <v>0</v>
      </c>
      <c r="F24" s="32" t="str">
        <f t="shared" ca="1" si="1"/>
        <v/>
      </c>
      <c r="G24" s="28"/>
      <c r="K24" s="33" t="str">
        <f>給与集計!B25</f>
        <v>00021</v>
      </c>
      <c r="L24" s="1" t="str">
        <f>給与集計!D25</f>
        <v>サンプル　太郎21</v>
      </c>
      <c r="M24" s="32"/>
      <c r="N24" s="37"/>
      <c r="O24" s="37">
        <f t="shared" si="2"/>
        <v>0</v>
      </c>
      <c r="P24" s="32"/>
      <c r="Q24" s="37"/>
      <c r="R24" s="37">
        <f t="shared" si="3"/>
        <v>0</v>
      </c>
      <c r="S24" s="37">
        <f t="shared" si="4"/>
        <v>0</v>
      </c>
      <c r="T24" s="74"/>
      <c r="U24" s="37">
        <f t="shared" si="5"/>
        <v>0</v>
      </c>
      <c r="V24" s="32" t="str">
        <f t="shared" si="6"/>
        <v/>
      </c>
      <c r="W24" s="30"/>
    </row>
    <row r="25" spans="1:23">
      <c r="A25" s="33" t="str">
        <f>給与集計!B26</f>
        <v>00022</v>
      </c>
      <c r="B25" s="1" t="str">
        <f>給与集計!D26</f>
        <v>サンプル　太郎22</v>
      </c>
      <c r="C25" s="32">
        <f ca="1">給与集計!S26</f>
        <v>0</v>
      </c>
      <c r="D25" s="37"/>
      <c r="E25" s="37">
        <f t="shared" ca="1" si="0"/>
        <v>0</v>
      </c>
      <c r="F25" s="32" t="str">
        <f t="shared" ca="1" si="1"/>
        <v/>
      </c>
      <c r="G25" s="28"/>
      <c r="K25" s="33" t="str">
        <f>給与集計!B26</f>
        <v>00022</v>
      </c>
      <c r="L25" s="1" t="str">
        <f>給与集計!D26</f>
        <v>サンプル　太郎22</v>
      </c>
      <c r="M25" s="32"/>
      <c r="N25" s="37"/>
      <c r="O25" s="37">
        <f t="shared" si="2"/>
        <v>0</v>
      </c>
      <c r="P25" s="32"/>
      <c r="Q25" s="37"/>
      <c r="R25" s="37">
        <f t="shared" si="3"/>
        <v>0</v>
      </c>
      <c r="S25" s="37">
        <f t="shared" si="4"/>
        <v>0</v>
      </c>
      <c r="T25" s="74"/>
      <c r="U25" s="37">
        <f t="shared" si="5"/>
        <v>0</v>
      </c>
      <c r="V25" s="32" t="str">
        <f t="shared" si="6"/>
        <v/>
      </c>
      <c r="W25" s="30"/>
    </row>
    <row r="26" spans="1:23">
      <c r="A26" s="33" t="str">
        <f>給与集計!B27</f>
        <v>00023</v>
      </c>
      <c r="B26" s="1" t="str">
        <f>給与集計!D27</f>
        <v>サンプル　太郎23</v>
      </c>
      <c r="C26" s="32">
        <f ca="1">給与集計!S27</f>
        <v>0</v>
      </c>
      <c r="D26" s="37"/>
      <c r="E26" s="37">
        <f t="shared" ca="1" si="0"/>
        <v>0</v>
      </c>
      <c r="F26" s="32" t="str">
        <f t="shared" ca="1" si="1"/>
        <v/>
      </c>
      <c r="G26" s="28"/>
      <c r="K26" s="33" t="str">
        <f>給与集計!B27</f>
        <v>00023</v>
      </c>
      <c r="L26" s="1" t="str">
        <f>給与集計!D27</f>
        <v>サンプル　太郎23</v>
      </c>
      <c r="M26" s="32"/>
      <c r="N26" s="37"/>
      <c r="O26" s="37">
        <f t="shared" si="2"/>
        <v>0</v>
      </c>
      <c r="P26" s="32"/>
      <c r="Q26" s="37"/>
      <c r="R26" s="37">
        <f t="shared" si="3"/>
        <v>0</v>
      </c>
      <c r="S26" s="37">
        <f t="shared" si="4"/>
        <v>0</v>
      </c>
      <c r="T26" s="74"/>
      <c r="U26" s="37">
        <f t="shared" si="5"/>
        <v>0</v>
      </c>
      <c r="V26" s="32" t="str">
        <f t="shared" si="6"/>
        <v/>
      </c>
      <c r="W26" s="30"/>
    </row>
    <row r="27" spans="1:23">
      <c r="A27" s="33" t="str">
        <f>給与集計!B28</f>
        <v>00024</v>
      </c>
      <c r="B27" s="1" t="str">
        <f>給与集計!D28</f>
        <v>サンプル　太郎24</v>
      </c>
      <c r="C27" s="32">
        <f ca="1">給与集計!S28</f>
        <v>0</v>
      </c>
      <c r="D27" s="37"/>
      <c r="E27" s="37">
        <f t="shared" ca="1" si="0"/>
        <v>0</v>
      </c>
      <c r="F27" s="32" t="str">
        <f t="shared" ca="1" si="1"/>
        <v/>
      </c>
      <c r="G27" s="28"/>
      <c r="K27" s="33" t="str">
        <f>給与集計!B28</f>
        <v>00024</v>
      </c>
      <c r="L27" s="1" t="str">
        <f>給与集計!D28</f>
        <v>サンプル　太郎24</v>
      </c>
      <c r="M27" s="32"/>
      <c r="N27" s="37"/>
      <c r="O27" s="37">
        <f t="shared" si="2"/>
        <v>0</v>
      </c>
      <c r="P27" s="32"/>
      <c r="Q27" s="37"/>
      <c r="R27" s="37">
        <f t="shared" si="3"/>
        <v>0</v>
      </c>
      <c r="S27" s="37">
        <f t="shared" si="4"/>
        <v>0</v>
      </c>
      <c r="T27" s="74"/>
      <c r="U27" s="37">
        <f t="shared" si="5"/>
        <v>0</v>
      </c>
      <c r="V27" s="32" t="str">
        <f t="shared" si="6"/>
        <v/>
      </c>
      <c r="W27" s="30"/>
    </row>
    <row r="28" spans="1:23">
      <c r="A28" s="33" t="str">
        <f>給与集計!B29</f>
        <v>00025</v>
      </c>
      <c r="B28" s="1" t="str">
        <f>給与集計!D29</f>
        <v>サンプル　太郎25</v>
      </c>
      <c r="C28" s="32">
        <f ca="1">給与集計!S29</f>
        <v>0</v>
      </c>
      <c r="D28" s="37"/>
      <c r="E28" s="37">
        <f t="shared" ca="1" si="0"/>
        <v>0</v>
      </c>
      <c r="F28" s="32" t="str">
        <f t="shared" ca="1" si="1"/>
        <v/>
      </c>
      <c r="G28" s="28"/>
      <c r="K28" s="33" t="str">
        <f>給与集計!B29</f>
        <v>00025</v>
      </c>
      <c r="L28" s="1" t="str">
        <f>給与集計!D29</f>
        <v>サンプル　太郎25</v>
      </c>
      <c r="M28" s="32"/>
      <c r="N28" s="37"/>
      <c r="O28" s="37">
        <f t="shared" si="2"/>
        <v>0</v>
      </c>
      <c r="P28" s="32"/>
      <c r="Q28" s="37"/>
      <c r="R28" s="37">
        <f t="shared" si="3"/>
        <v>0</v>
      </c>
      <c r="S28" s="37">
        <f t="shared" si="4"/>
        <v>0</v>
      </c>
      <c r="T28" s="74"/>
      <c r="U28" s="37">
        <f t="shared" si="5"/>
        <v>0</v>
      </c>
      <c r="V28" s="32" t="str">
        <f t="shared" si="6"/>
        <v/>
      </c>
      <c r="W28" s="30"/>
    </row>
    <row r="29" spans="1:23">
      <c r="A29" s="33" t="str">
        <f>給与集計!B30</f>
        <v>00026</v>
      </c>
      <c r="B29" s="1" t="str">
        <f>給与集計!D30</f>
        <v>サンプル　太郎26</v>
      </c>
      <c r="C29" s="32">
        <f ca="1">給与集計!S30</f>
        <v>0</v>
      </c>
      <c r="D29" s="37"/>
      <c r="E29" s="37">
        <f t="shared" ca="1" si="0"/>
        <v>0</v>
      </c>
      <c r="F29" s="32" t="str">
        <f t="shared" ca="1" si="1"/>
        <v/>
      </c>
      <c r="G29" s="28"/>
      <c r="K29" s="33" t="str">
        <f>給与集計!B30</f>
        <v>00026</v>
      </c>
      <c r="L29" s="1" t="str">
        <f>給与集計!D30</f>
        <v>サンプル　太郎26</v>
      </c>
      <c r="M29" s="32"/>
      <c r="N29" s="37"/>
      <c r="O29" s="37">
        <f t="shared" si="2"/>
        <v>0</v>
      </c>
      <c r="P29" s="32"/>
      <c r="Q29" s="37"/>
      <c r="R29" s="37">
        <f t="shared" si="3"/>
        <v>0</v>
      </c>
      <c r="S29" s="37">
        <f t="shared" si="4"/>
        <v>0</v>
      </c>
      <c r="T29" s="74"/>
      <c r="U29" s="37">
        <f t="shared" si="5"/>
        <v>0</v>
      </c>
      <c r="V29" s="32" t="str">
        <f t="shared" si="6"/>
        <v/>
      </c>
      <c r="W29" s="30"/>
    </row>
    <row r="30" spans="1:23">
      <c r="A30" s="33" t="str">
        <f>給与集計!B31</f>
        <v>00027</v>
      </c>
      <c r="B30" s="1" t="str">
        <f>給与集計!D31</f>
        <v>サンプル　太郎27</v>
      </c>
      <c r="C30" s="32">
        <f ca="1">給与集計!S31</f>
        <v>0</v>
      </c>
      <c r="D30" s="37"/>
      <c r="E30" s="37">
        <f t="shared" ca="1" si="0"/>
        <v>0</v>
      </c>
      <c r="F30" s="32" t="str">
        <f t="shared" ca="1" si="1"/>
        <v/>
      </c>
      <c r="G30" s="28"/>
      <c r="K30" s="33" t="str">
        <f>給与集計!B31</f>
        <v>00027</v>
      </c>
      <c r="L30" s="1" t="str">
        <f>給与集計!D31</f>
        <v>サンプル　太郎27</v>
      </c>
      <c r="M30" s="32"/>
      <c r="N30" s="37"/>
      <c r="O30" s="37">
        <f t="shared" si="2"/>
        <v>0</v>
      </c>
      <c r="P30" s="32"/>
      <c r="Q30" s="37"/>
      <c r="R30" s="37">
        <f t="shared" si="3"/>
        <v>0</v>
      </c>
      <c r="S30" s="37">
        <f t="shared" si="4"/>
        <v>0</v>
      </c>
      <c r="T30" s="74"/>
      <c r="U30" s="37">
        <f t="shared" si="5"/>
        <v>0</v>
      </c>
      <c r="V30" s="32" t="str">
        <f t="shared" si="6"/>
        <v/>
      </c>
      <c r="W30" s="30"/>
    </row>
    <row r="31" spans="1:23">
      <c r="A31" s="33" t="str">
        <f>給与集計!B32</f>
        <v>00028</v>
      </c>
      <c r="B31" s="1" t="str">
        <f>給与集計!D32</f>
        <v>サンプル　太郎28</v>
      </c>
      <c r="C31" s="32">
        <f ca="1">給与集計!S32</f>
        <v>0</v>
      </c>
      <c r="D31" s="37"/>
      <c r="E31" s="37">
        <f t="shared" ca="1" si="0"/>
        <v>0</v>
      </c>
      <c r="F31" s="32" t="str">
        <f t="shared" ca="1" si="1"/>
        <v/>
      </c>
      <c r="G31" s="28"/>
      <c r="K31" s="33" t="str">
        <f>給与集計!B32</f>
        <v>00028</v>
      </c>
      <c r="L31" s="1" t="str">
        <f>給与集計!D32</f>
        <v>サンプル　太郎28</v>
      </c>
      <c r="M31" s="32"/>
      <c r="N31" s="37"/>
      <c r="O31" s="37">
        <f t="shared" si="2"/>
        <v>0</v>
      </c>
      <c r="P31" s="32"/>
      <c r="Q31" s="37"/>
      <c r="R31" s="37">
        <f t="shared" si="3"/>
        <v>0</v>
      </c>
      <c r="S31" s="37">
        <f t="shared" si="4"/>
        <v>0</v>
      </c>
      <c r="T31" s="74"/>
      <c r="U31" s="37">
        <f t="shared" si="5"/>
        <v>0</v>
      </c>
      <c r="V31" s="32" t="str">
        <f t="shared" si="6"/>
        <v/>
      </c>
      <c r="W31" s="30"/>
    </row>
    <row r="32" spans="1:23">
      <c r="A32" s="33" t="str">
        <f>給与集計!B33</f>
        <v>00029</v>
      </c>
      <c r="B32" s="1" t="str">
        <f>給与集計!D33</f>
        <v>サンプル　太郎29</v>
      </c>
      <c r="C32" s="32">
        <f ca="1">給与集計!S33</f>
        <v>0</v>
      </c>
      <c r="D32" s="37"/>
      <c r="E32" s="37">
        <f t="shared" ca="1" si="0"/>
        <v>0</v>
      </c>
      <c r="F32" s="32" t="str">
        <f t="shared" ca="1" si="1"/>
        <v/>
      </c>
      <c r="G32" s="28"/>
      <c r="K32" s="33" t="str">
        <f>給与集計!B33</f>
        <v>00029</v>
      </c>
      <c r="L32" s="1" t="str">
        <f>給与集計!D33</f>
        <v>サンプル　太郎29</v>
      </c>
      <c r="M32" s="32"/>
      <c r="N32" s="37"/>
      <c r="O32" s="37">
        <f t="shared" si="2"/>
        <v>0</v>
      </c>
      <c r="P32" s="32"/>
      <c r="Q32" s="37"/>
      <c r="R32" s="37">
        <f t="shared" si="3"/>
        <v>0</v>
      </c>
      <c r="S32" s="37">
        <f t="shared" si="4"/>
        <v>0</v>
      </c>
      <c r="T32" s="74"/>
      <c r="U32" s="37">
        <f t="shared" si="5"/>
        <v>0</v>
      </c>
      <c r="V32" s="32" t="str">
        <f t="shared" si="6"/>
        <v/>
      </c>
      <c r="W32" s="30"/>
    </row>
    <row r="33" spans="1:23">
      <c r="A33" s="33" t="str">
        <f>給与集計!B34</f>
        <v>00030</v>
      </c>
      <c r="B33" s="1" t="str">
        <f>給与集計!D34</f>
        <v>サンプル　太郎30</v>
      </c>
      <c r="C33" s="32">
        <f ca="1">給与集計!S34</f>
        <v>0</v>
      </c>
      <c r="D33" s="37"/>
      <c r="E33" s="37">
        <f t="shared" ca="1" si="0"/>
        <v>0</v>
      </c>
      <c r="F33" s="32" t="str">
        <f t="shared" ca="1" si="1"/>
        <v/>
      </c>
      <c r="G33" s="28"/>
      <c r="K33" s="33" t="str">
        <f>給与集計!B34</f>
        <v>00030</v>
      </c>
      <c r="L33" s="1" t="str">
        <f>給与集計!D34</f>
        <v>サンプル　太郎30</v>
      </c>
      <c r="M33" s="32"/>
      <c r="N33" s="37"/>
      <c r="O33" s="37">
        <f t="shared" si="2"/>
        <v>0</v>
      </c>
      <c r="P33" s="32"/>
      <c r="Q33" s="37"/>
      <c r="R33" s="37">
        <f t="shared" si="3"/>
        <v>0</v>
      </c>
      <c r="S33" s="37">
        <f t="shared" si="4"/>
        <v>0</v>
      </c>
      <c r="T33" s="74"/>
      <c r="U33" s="37">
        <f t="shared" si="5"/>
        <v>0</v>
      </c>
      <c r="V33" s="32" t="str">
        <f t="shared" si="6"/>
        <v/>
      </c>
      <c r="W33" s="30"/>
    </row>
    <row r="34" spans="1:23">
      <c r="A34" s="33" t="str">
        <f>給与集計!B35</f>
        <v>00031</v>
      </c>
      <c r="B34" s="1" t="str">
        <f>給与集計!D35</f>
        <v>サンプル　太郎31</v>
      </c>
      <c r="C34" s="32">
        <f ca="1">給与集計!S35</f>
        <v>0</v>
      </c>
      <c r="D34" s="37"/>
      <c r="E34" s="37">
        <f t="shared" ca="1" si="0"/>
        <v>0</v>
      </c>
      <c r="F34" s="32" t="str">
        <f t="shared" ca="1" si="1"/>
        <v/>
      </c>
      <c r="G34" s="28"/>
      <c r="K34" s="33" t="str">
        <f>給与集計!B35</f>
        <v>00031</v>
      </c>
      <c r="L34" s="1" t="str">
        <f>給与集計!D35</f>
        <v>サンプル　太郎31</v>
      </c>
      <c r="M34" s="32"/>
      <c r="N34" s="37"/>
      <c r="O34" s="37">
        <f t="shared" si="2"/>
        <v>0</v>
      </c>
      <c r="P34" s="32"/>
      <c r="Q34" s="37"/>
      <c r="R34" s="37">
        <f t="shared" si="3"/>
        <v>0</v>
      </c>
      <c r="S34" s="37">
        <f t="shared" si="4"/>
        <v>0</v>
      </c>
      <c r="T34" s="74"/>
      <c r="U34" s="37">
        <f t="shared" si="5"/>
        <v>0</v>
      </c>
      <c r="V34" s="32" t="str">
        <f t="shared" si="6"/>
        <v/>
      </c>
      <c r="W34" s="30"/>
    </row>
    <row r="35" spans="1:23">
      <c r="A35" s="33" t="str">
        <f>給与集計!B36</f>
        <v>00032</v>
      </c>
      <c r="B35" s="1" t="str">
        <f>給与集計!D36</f>
        <v>サンプル　太郎32</v>
      </c>
      <c r="C35" s="32">
        <f ca="1">給与集計!S36</f>
        <v>0</v>
      </c>
      <c r="D35" s="37"/>
      <c r="E35" s="37">
        <f t="shared" ca="1" si="0"/>
        <v>0</v>
      </c>
      <c r="F35" s="32" t="str">
        <f t="shared" ca="1" si="1"/>
        <v/>
      </c>
      <c r="G35" s="28"/>
      <c r="K35" s="33" t="str">
        <f>給与集計!B36</f>
        <v>00032</v>
      </c>
      <c r="L35" s="1" t="str">
        <f>給与集計!D36</f>
        <v>サンプル　太郎32</v>
      </c>
      <c r="M35" s="32"/>
      <c r="N35" s="37"/>
      <c r="O35" s="37">
        <f t="shared" si="2"/>
        <v>0</v>
      </c>
      <c r="P35" s="32"/>
      <c r="Q35" s="37"/>
      <c r="R35" s="37">
        <f t="shared" si="3"/>
        <v>0</v>
      </c>
      <c r="S35" s="37">
        <f t="shared" si="4"/>
        <v>0</v>
      </c>
      <c r="T35" s="74"/>
      <c r="U35" s="37">
        <f t="shared" si="5"/>
        <v>0</v>
      </c>
      <c r="V35" s="32" t="str">
        <f t="shared" si="6"/>
        <v/>
      </c>
      <c r="W35" s="30"/>
    </row>
    <row r="36" spans="1:23">
      <c r="A36" s="33" t="str">
        <f>給与集計!B37</f>
        <v>00033</v>
      </c>
      <c r="B36" s="1" t="str">
        <f>給与集計!D37</f>
        <v>サンプル　太郎33</v>
      </c>
      <c r="C36" s="32">
        <f ca="1">給与集計!S37</f>
        <v>0</v>
      </c>
      <c r="D36" s="37"/>
      <c r="E36" s="37">
        <f t="shared" ca="1" si="0"/>
        <v>0</v>
      </c>
      <c r="F36" s="32" t="str">
        <f t="shared" ca="1" si="1"/>
        <v/>
      </c>
      <c r="G36" s="28"/>
      <c r="K36" s="33" t="str">
        <f>給与集計!B37</f>
        <v>00033</v>
      </c>
      <c r="L36" s="1" t="str">
        <f>給与集計!D37</f>
        <v>サンプル　太郎33</v>
      </c>
      <c r="M36" s="32"/>
      <c r="N36" s="37"/>
      <c r="O36" s="37">
        <f t="shared" si="2"/>
        <v>0</v>
      </c>
      <c r="P36" s="32"/>
      <c r="Q36" s="37"/>
      <c r="R36" s="37">
        <f t="shared" si="3"/>
        <v>0</v>
      </c>
      <c r="S36" s="37">
        <f t="shared" si="4"/>
        <v>0</v>
      </c>
      <c r="T36" s="74"/>
      <c r="U36" s="37">
        <f t="shared" si="5"/>
        <v>0</v>
      </c>
      <c r="V36" s="32" t="str">
        <f t="shared" si="6"/>
        <v/>
      </c>
      <c r="W36" s="30"/>
    </row>
    <row r="37" spans="1:23">
      <c r="A37" s="33" t="str">
        <f>給与集計!B38</f>
        <v>00034</v>
      </c>
      <c r="B37" s="1" t="str">
        <f>給与集計!D38</f>
        <v>サンプル　太郎34</v>
      </c>
      <c r="C37" s="32">
        <f ca="1">給与集計!S38</f>
        <v>0</v>
      </c>
      <c r="D37" s="37"/>
      <c r="E37" s="37">
        <f t="shared" ca="1" si="0"/>
        <v>0</v>
      </c>
      <c r="F37" s="32" t="str">
        <f t="shared" ca="1" si="1"/>
        <v/>
      </c>
      <c r="G37" s="28"/>
      <c r="K37" s="33" t="str">
        <f>給与集計!B38</f>
        <v>00034</v>
      </c>
      <c r="L37" s="1" t="str">
        <f>給与集計!D38</f>
        <v>サンプル　太郎34</v>
      </c>
      <c r="M37" s="32"/>
      <c r="N37" s="37"/>
      <c r="O37" s="37">
        <f t="shared" si="2"/>
        <v>0</v>
      </c>
      <c r="P37" s="32"/>
      <c r="Q37" s="37"/>
      <c r="R37" s="37">
        <f t="shared" si="3"/>
        <v>0</v>
      </c>
      <c r="S37" s="37">
        <f t="shared" si="4"/>
        <v>0</v>
      </c>
      <c r="T37" s="74"/>
      <c r="U37" s="37">
        <f t="shared" si="5"/>
        <v>0</v>
      </c>
      <c r="V37" s="32" t="str">
        <f t="shared" si="6"/>
        <v/>
      </c>
      <c r="W37" s="30"/>
    </row>
    <row r="38" spans="1:23">
      <c r="A38" s="33" t="str">
        <f>給与集計!B39</f>
        <v>00035</v>
      </c>
      <c r="B38" s="1" t="str">
        <f>給与集計!D39</f>
        <v>サンプル　太郎35</v>
      </c>
      <c r="C38" s="32">
        <f ca="1">給与集計!S39</f>
        <v>0</v>
      </c>
      <c r="D38" s="37"/>
      <c r="E38" s="37">
        <f t="shared" ca="1" si="0"/>
        <v>0</v>
      </c>
      <c r="F38" s="32" t="str">
        <f t="shared" ca="1" si="1"/>
        <v/>
      </c>
      <c r="G38" s="28"/>
      <c r="K38" s="33" t="str">
        <f>給与集計!B39</f>
        <v>00035</v>
      </c>
      <c r="L38" s="1" t="str">
        <f>給与集計!D39</f>
        <v>サンプル　太郎35</v>
      </c>
      <c r="M38" s="32"/>
      <c r="N38" s="37"/>
      <c r="O38" s="37">
        <f t="shared" si="2"/>
        <v>0</v>
      </c>
      <c r="P38" s="32"/>
      <c r="Q38" s="37"/>
      <c r="R38" s="37">
        <f t="shared" si="3"/>
        <v>0</v>
      </c>
      <c r="S38" s="37">
        <f t="shared" si="4"/>
        <v>0</v>
      </c>
      <c r="T38" s="74"/>
      <c r="U38" s="37">
        <f t="shared" si="5"/>
        <v>0</v>
      </c>
      <c r="V38" s="32" t="str">
        <f t="shared" si="6"/>
        <v/>
      </c>
      <c r="W38" s="30"/>
    </row>
    <row r="39" spans="1:23">
      <c r="A39" s="33" t="str">
        <f>給与集計!B40</f>
        <v>00036</v>
      </c>
      <c r="B39" s="1" t="str">
        <f>給与集計!D40</f>
        <v>サンプル　太郎36</v>
      </c>
      <c r="C39" s="32">
        <f ca="1">給与集計!S40</f>
        <v>0</v>
      </c>
      <c r="D39" s="37"/>
      <c r="E39" s="37">
        <f t="shared" ca="1" si="0"/>
        <v>0</v>
      </c>
      <c r="F39" s="32" t="str">
        <f t="shared" ca="1" si="1"/>
        <v/>
      </c>
      <c r="G39" s="28"/>
      <c r="K39" s="33" t="str">
        <f>給与集計!B40</f>
        <v>00036</v>
      </c>
      <c r="L39" s="1" t="str">
        <f>給与集計!D40</f>
        <v>サンプル　太郎36</v>
      </c>
      <c r="M39" s="32"/>
      <c r="N39" s="37"/>
      <c r="O39" s="37">
        <f t="shared" si="2"/>
        <v>0</v>
      </c>
      <c r="P39" s="32"/>
      <c r="Q39" s="37"/>
      <c r="R39" s="37">
        <f t="shared" si="3"/>
        <v>0</v>
      </c>
      <c r="S39" s="37">
        <f t="shared" si="4"/>
        <v>0</v>
      </c>
      <c r="T39" s="74"/>
      <c r="U39" s="37">
        <f t="shared" si="5"/>
        <v>0</v>
      </c>
      <c r="V39" s="32" t="str">
        <f t="shared" si="6"/>
        <v/>
      </c>
      <c r="W39" s="30"/>
    </row>
    <row r="40" spans="1:23">
      <c r="A40" s="33" t="str">
        <f>給与集計!B41</f>
        <v>00037</v>
      </c>
      <c r="B40" s="1" t="str">
        <f>給与集計!D41</f>
        <v>サンプル　太郎37</v>
      </c>
      <c r="C40" s="32">
        <f ca="1">給与集計!S41</f>
        <v>0</v>
      </c>
      <c r="D40" s="37"/>
      <c r="E40" s="37">
        <f t="shared" ca="1" si="0"/>
        <v>0</v>
      </c>
      <c r="F40" s="32" t="str">
        <f t="shared" ca="1" si="1"/>
        <v/>
      </c>
      <c r="G40" s="28"/>
      <c r="K40" s="33" t="str">
        <f>給与集計!B41</f>
        <v>00037</v>
      </c>
      <c r="L40" s="1" t="str">
        <f>給与集計!D41</f>
        <v>サンプル　太郎37</v>
      </c>
      <c r="M40" s="32"/>
      <c r="N40" s="37"/>
      <c r="O40" s="37">
        <f t="shared" si="2"/>
        <v>0</v>
      </c>
      <c r="P40" s="32"/>
      <c r="Q40" s="37"/>
      <c r="R40" s="37">
        <f t="shared" si="3"/>
        <v>0</v>
      </c>
      <c r="S40" s="37">
        <f t="shared" si="4"/>
        <v>0</v>
      </c>
      <c r="T40" s="74"/>
      <c r="U40" s="37">
        <f t="shared" si="5"/>
        <v>0</v>
      </c>
      <c r="V40" s="32" t="str">
        <f t="shared" si="6"/>
        <v/>
      </c>
      <c r="W40" s="30"/>
    </row>
    <row r="41" spans="1:23">
      <c r="A41" s="33" t="str">
        <f>給与集計!B42</f>
        <v>00038</v>
      </c>
      <c r="B41" s="1" t="str">
        <f>給与集計!D42</f>
        <v>サンプル　太郎38</v>
      </c>
      <c r="C41" s="32">
        <f ca="1">給与集計!S42</f>
        <v>0</v>
      </c>
      <c r="D41" s="37"/>
      <c r="E41" s="37">
        <f t="shared" ca="1" si="0"/>
        <v>0</v>
      </c>
      <c r="F41" s="32" t="str">
        <f t="shared" ca="1" si="1"/>
        <v/>
      </c>
      <c r="G41" s="28"/>
      <c r="K41" s="33" t="str">
        <f>給与集計!B42</f>
        <v>00038</v>
      </c>
      <c r="L41" s="1" t="str">
        <f>給与集計!D42</f>
        <v>サンプル　太郎38</v>
      </c>
      <c r="M41" s="32"/>
      <c r="N41" s="37"/>
      <c r="O41" s="37">
        <f t="shared" si="2"/>
        <v>0</v>
      </c>
      <c r="P41" s="32"/>
      <c r="Q41" s="37"/>
      <c r="R41" s="37">
        <f t="shared" si="3"/>
        <v>0</v>
      </c>
      <c r="S41" s="37">
        <f t="shared" si="4"/>
        <v>0</v>
      </c>
      <c r="T41" s="74"/>
      <c r="U41" s="37">
        <f t="shared" si="5"/>
        <v>0</v>
      </c>
      <c r="V41" s="32" t="str">
        <f t="shared" si="6"/>
        <v/>
      </c>
      <c r="W41" s="30"/>
    </row>
    <row r="42" spans="1:23">
      <c r="A42" s="33" t="str">
        <f>給与集計!B43</f>
        <v>00039</v>
      </c>
      <c r="B42" s="1" t="str">
        <f>給与集計!D43</f>
        <v>サンプル　太郎39</v>
      </c>
      <c r="C42" s="32">
        <f ca="1">給与集計!S43</f>
        <v>0</v>
      </c>
      <c r="D42" s="37"/>
      <c r="E42" s="37">
        <f t="shared" ca="1" si="0"/>
        <v>0</v>
      </c>
      <c r="F42" s="32" t="str">
        <f t="shared" ca="1" si="1"/>
        <v/>
      </c>
      <c r="G42" s="28"/>
      <c r="K42" s="33" t="str">
        <f>給与集計!B43</f>
        <v>00039</v>
      </c>
      <c r="L42" s="1" t="str">
        <f>給与集計!D43</f>
        <v>サンプル　太郎39</v>
      </c>
      <c r="M42" s="32"/>
      <c r="N42" s="37"/>
      <c r="O42" s="37">
        <f t="shared" si="2"/>
        <v>0</v>
      </c>
      <c r="P42" s="32"/>
      <c r="Q42" s="37"/>
      <c r="R42" s="37">
        <f t="shared" si="3"/>
        <v>0</v>
      </c>
      <c r="S42" s="37">
        <f t="shared" si="4"/>
        <v>0</v>
      </c>
      <c r="T42" s="74"/>
      <c r="U42" s="37">
        <f t="shared" si="5"/>
        <v>0</v>
      </c>
      <c r="V42" s="32" t="str">
        <f t="shared" si="6"/>
        <v/>
      </c>
      <c r="W42" s="30"/>
    </row>
    <row r="43" spans="1:23">
      <c r="A43" s="33" t="str">
        <f>給与集計!B44</f>
        <v>00040</v>
      </c>
      <c r="B43" s="1" t="str">
        <f>給与集計!D44</f>
        <v>サンプル　太郎40</v>
      </c>
      <c r="C43" s="32">
        <f ca="1">給与集計!S44</f>
        <v>0</v>
      </c>
      <c r="D43" s="37"/>
      <c r="E43" s="37">
        <f t="shared" ca="1" si="0"/>
        <v>0</v>
      </c>
      <c r="F43" s="32" t="str">
        <f t="shared" ca="1" si="1"/>
        <v/>
      </c>
      <c r="G43" s="28"/>
      <c r="K43" s="33" t="str">
        <f>給与集計!B44</f>
        <v>00040</v>
      </c>
      <c r="L43" s="1" t="str">
        <f>給与集計!D44</f>
        <v>サンプル　太郎40</v>
      </c>
      <c r="M43" s="32"/>
      <c r="N43" s="37"/>
      <c r="O43" s="37">
        <f t="shared" si="2"/>
        <v>0</v>
      </c>
      <c r="P43" s="32"/>
      <c r="Q43" s="37"/>
      <c r="R43" s="37">
        <f t="shared" si="3"/>
        <v>0</v>
      </c>
      <c r="S43" s="37">
        <f t="shared" si="4"/>
        <v>0</v>
      </c>
      <c r="T43" s="74"/>
      <c r="U43" s="37">
        <f t="shared" si="5"/>
        <v>0</v>
      </c>
      <c r="V43" s="32" t="str">
        <f t="shared" si="6"/>
        <v/>
      </c>
      <c r="W43" s="30"/>
    </row>
    <row r="44" spans="1:23">
      <c r="A44" s="33" t="str">
        <f>給与集計!B45</f>
        <v>00041</v>
      </c>
      <c r="B44" s="1" t="str">
        <f>給与集計!D45</f>
        <v>サンプル　太郎41</v>
      </c>
      <c r="C44" s="32">
        <f ca="1">給与集計!S45</f>
        <v>0</v>
      </c>
      <c r="D44" s="37"/>
      <c r="E44" s="37">
        <f t="shared" ca="1" si="0"/>
        <v>0</v>
      </c>
      <c r="F44" s="32" t="str">
        <f t="shared" ca="1" si="1"/>
        <v/>
      </c>
      <c r="G44" s="28"/>
      <c r="K44" s="33" t="str">
        <f>給与集計!B45</f>
        <v>00041</v>
      </c>
      <c r="L44" s="1" t="str">
        <f>給与集計!D45</f>
        <v>サンプル　太郎41</v>
      </c>
      <c r="M44" s="32"/>
      <c r="N44" s="37"/>
      <c r="O44" s="37">
        <f t="shared" si="2"/>
        <v>0</v>
      </c>
      <c r="P44" s="32"/>
      <c r="Q44" s="37"/>
      <c r="R44" s="37">
        <f t="shared" si="3"/>
        <v>0</v>
      </c>
      <c r="S44" s="37">
        <f t="shared" si="4"/>
        <v>0</v>
      </c>
      <c r="T44" s="74"/>
      <c r="U44" s="37">
        <f t="shared" si="5"/>
        <v>0</v>
      </c>
      <c r="V44" s="32" t="str">
        <f t="shared" si="6"/>
        <v/>
      </c>
      <c r="W44" s="30"/>
    </row>
    <row r="45" spans="1:23">
      <c r="A45" s="33" t="str">
        <f>給与集計!B46</f>
        <v>00042</v>
      </c>
      <c r="B45" s="1" t="str">
        <f>給与集計!D46</f>
        <v>サンプル　太郎42</v>
      </c>
      <c r="C45" s="32">
        <f ca="1">給与集計!S46</f>
        <v>0</v>
      </c>
      <c r="D45" s="37"/>
      <c r="E45" s="37">
        <f t="shared" ca="1" si="0"/>
        <v>0</v>
      </c>
      <c r="F45" s="32" t="str">
        <f t="shared" ca="1" si="1"/>
        <v/>
      </c>
      <c r="G45" s="28"/>
      <c r="K45" s="33" t="str">
        <f>給与集計!B46</f>
        <v>00042</v>
      </c>
      <c r="L45" s="1" t="str">
        <f>給与集計!D46</f>
        <v>サンプル　太郎42</v>
      </c>
      <c r="M45" s="32"/>
      <c r="N45" s="37"/>
      <c r="O45" s="37">
        <f t="shared" si="2"/>
        <v>0</v>
      </c>
      <c r="P45" s="32"/>
      <c r="Q45" s="37"/>
      <c r="R45" s="37">
        <f t="shared" si="3"/>
        <v>0</v>
      </c>
      <c r="S45" s="37">
        <f t="shared" si="4"/>
        <v>0</v>
      </c>
      <c r="T45" s="74"/>
      <c r="U45" s="37">
        <f t="shared" si="5"/>
        <v>0</v>
      </c>
      <c r="V45" s="32" t="str">
        <f t="shared" si="6"/>
        <v/>
      </c>
      <c r="W45" s="30"/>
    </row>
    <row r="46" spans="1:23">
      <c r="A46" s="33" t="str">
        <f>給与集計!B47</f>
        <v>00043</v>
      </c>
      <c r="B46" s="1" t="str">
        <f>給与集計!D47</f>
        <v>サンプル　太郎43</v>
      </c>
      <c r="C46" s="32">
        <f ca="1">給与集計!S47</f>
        <v>0</v>
      </c>
      <c r="D46" s="37"/>
      <c r="E46" s="37">
        <f t="shared" ca="1" si="0"/>
        <v>0</v>
      </c>
      <c r="F46" s="32" t="str">
        <f t="shared" ca="1" si="1"/>
        <v/>
      </c>
      <c r="G46" s="28"/>
      <c r="K46" s="33" t="str">
        <f>給与集計!B47</f>
        <v>00043</v>
      </c>
      <c r="L46" s="1" t="str">
        <f>給与集計!D47</f>
        <v>サンプル　太郎43</v>
      </c>
      <c r="M46" s="32"/>
      <c r="N46" s="37"/>
      <c r="O46" s="37">
        <f t="shared" si="2"/>
        <v>0</v>
      </c>
      <c r="P46" s="32"/>
      <c r="Q46" s="37"/>
      <c r="R46" s="37">
        <f t="shared" si="3"/>
        <v>0</v>
      </c>
      <c r="S46" s="37">
        <f t="shared" si="4"/>
        <v>0</v>
      </c>
      <c r="T46" s="74"/>
      <c r="U46" s="37">
        <f t="shared" si="5"/>
        <v>0</v>
      </c>
      <c r="V46" s="32" t="str">
        <f t="shared" si="6"/>
        <v/>
      </c>
      <c r="W46" s="30"/>
    </row>
    <row r="47" spans="1:23">
      <c r="A47" s="33" t="str">
        <f>給与集計!B48</f>
        <v>00044</v>
      </c>
      <c r="B47" s="1" t="str">
        <f>給与集計!D48</f>
        <v>サンプル　太郎44</v>
      </c>
      <c r="C47" s="32">
        <f ca="1">給与集計!S48</f>
        <v>0</v>
      </c>
      <c r="D47" s="37"/>
      <c r="E47" s="37">
        <f t="shared" ca="1" si="0"/>
        <v>0</v>
      </c>
      <c r="F47" s="32" t="str">
        <f t="shared" ca="1" si="1"/>
        <v/>
      </c>
      <c r="G47" s="28"/>
      <c r="K47" s="33" t="str">
        <f>給与集計!B48</f>
        <v>00044</v>
      </c>
      <c r="L47" s="1" t="str">
        <f>給与集計!D48</f>
        <v>サンプル　太郎44</v>
      </c>
      <c r="M47" s="32"/>
      <c r="N47" s="37"/>
      <c r="O47" s="37">
        <f t="shared" si="2"/>
        <v>0</v>
      </c>
      <c r="P47" s="32"/>
      <c r="Q47" s="37"/>
      <c r="R47" s="37">
        <f t="shared" si="3"/>
        <v>0</v>
      </c>
      <c r="S47" s="37">
        <f t="shared" si="4"/>
        <v>0</v>
      </c>
      <c r="T47" s="74"/>
      <c r="U47" s="37">
        <f t="shared" si="5"/>
        <v>0</v>
      </c>
      <c r="V47" s="32" t="str">
        <f t="shared" si="6"/>
        <v/>
      </c>
      <c r="W47" s="30"/>
    </row>
    <row r="48" spans="1:23">
      <c r="A48" s="33" t="str">
        <f>給与集計!B49</f>
        <v>00045</v>
      </c>
      <c r="B48" s="1" t="str">
        <f>給与集計!D49</f>
        <v>サンプル　太郎45</v>
      </c>
      <c r="C48" s="32">
        <f ca="1">給与集計!S49</f>
        <v>0</v>
      </c>
      <c r="D48" s="37"/>
      <c r="E48" s="37">
        <f t="shared" ca="1" si="0"/>
        <v>0</v>
      </c>
      <c r="F48" s="32" t="str">
        <f t="shared" ca="1" si="1"/>
        <v/>
      </c>
      <c r="G48" s="28"/>
      <c r="K48" s="33" t="str">
        <f>給与集計!B49</f>
        <v>00045</v>
      </c>
      <c r="L48" s="1" t="str">
        <f>給与集計!D49</f>
        <v>サンプル　太郎45</v>
      </c>
      <c r="M48" s="32"/>
      <c r="N48" s="37"/>
      <c r="O48" s="37">
        <f t="shared" si="2"/>
        <v>0</v>
      </c>
      <c r="P48" s="32"/>
      <c r="Q48" s="37"/>
      <c r="R48" s="37">
        <f t="shared" si="3"/>
        <v>0</v>
      </c>
      <c r="S48" s="37">
        <f t="shared" si="4"/>
        <v>0</v>
      </c>
      <c r="T48" s="74"/>
      <c r="U48" s="37">
        <f t="shared" si="5"/>
        <v>0</v>
      </c>
      <c r="V48" s="32" t="str">
        <f t="shared" si="6"/>
        <v/>
      </c>
      <c r="W48" s="30"/>
    </row>
    <row r="49" spans="1:23">
      <c r="A49" s="33" t="str">
        <f>給与集計!B50</f>
        <v>00046</v>
      </c>
      <c r="B49" s="1" t="str">
        <f>給与集計!D50</f>
        <v>サンプル　太郎46</v>
      </c>
      <c r="C49" s="32">
        <f ca="1">給与集計!S50</f>
        <v>0</v>
      </c>
      <c r="D49" s="37"/>
      <c r="E49" s="37">
        <f t="shared" ca="1" si="0"/>
        <v>0</v>
      </c>
      <c r="F49" s="32" t="str">
        <f t="shared" ca="1" si="1"/>
        <v/>
      </c>
      <c r="G49" s="28"/>
      <c r="K49" s="33" t="str">
        <f>給与集計!B50</f>
        <v>00046</v>
      </c>
      <c r="L49" s="1" t="str">
        <f>給与集計!D50</f>
        <v>サンプル　太郎46</v>
      </c>
      <c r="M49" s="32"/>
      <c r="N49" s="37"/>
      <c r="O49" s="37">
        <f t="shared" si="2"/>
        <v>0</v>
      </c>
      <c r="P49" s="32"/>
      <c r="Q49" s="37"/>
      <c r="R49" s="37">
        <f t="shared" si="3"/>
        <v>0</v>
      </c>
      <c r="S49" s="37">
        <f t="shared" si="4"/>
        <v>0</v>
      </c>
      <c r="T49" s="74"/>
      <c r="U49" s="37">
        <f t="shared" si="5"/>
        <v>0</v>
      </c>
      <c r="V49" s="32" t="str">
        <f t="shared" si="6"/>
        <v/>
      </c>
      <c r="W49" s="30"/>
    </row>
    <row r="50" spans="1:23">
      <c r="A50" s="33" t="str">
        <f>給与集計!B51</f>
        <v>00047</v>
      </c>
      <c r="B50" s="1" t="str">
        <f>給与集計!D51</f>
        <v>サンプル　太郎47</v>
      </c>
      <c r="C50" s="32">
        <f ca="1">給与集計!S51</f>
        <v>0</v>
      </c>
      <c r="D50" s="37"/>
      <c r="E50" s="37">
        <f t="shared" ca="1" si="0"/>
        <v>0</v>
      </c>
      <c r="F50" s="32" t="str">
        <f t="shared" ca="1" si="1"/>
        <v/>
      </c>
      <c r="G50" s="28"/>
      <c r="K50" s="33" t="str">
        <f>給与集計!B51</f>
        <v>00047</v>
      </c>
      <c r="L50" s="1" t="str">
        <f>給与集計!D51</f>
        <v>サンプル　太郎47</v>
      </c>
      <c r="M50" s="32"/>
      <c r="N50" s="37"/>
      <c r="O50" s="37">
        <f t="shared" si="2"/>
        <v>0</v>
      </c>
      <c r="P50" s="32"/>
      <c r="Q50" s="37"/>
      <c r="R50" s="37">
        <f t="shared" si="3"/>
        <v>0</v>
      </c>
      <c r="S50" s="37">
        <f t="shared" si="4"/>
        <v>0</v>
      </c>
      <c r="T50" s="74"/>
      <c r="U50" s="37">
        <f t="shared" si="5"/>
        <v>0</v>
      </c>
      <c r="V50" s="32" t="str">
        <f t="shared" si="6"/>
        <v/>
      </c>
      <c r="W50" s="30"/>
    </row>
    <row r="51" spans="1:23">
      <c r="A51" s="33" t="str">
        <f>給与集計!B52</f>
        <v>00048</v>
      </c>
      <c r="B51" s="1" t="str">
        <f>給与集計!D52</f>
        <v>サンプル　太郎48</v>
      </c>
      <c r="C51" s="32">
        <f ca="1">給与集計!S52</f>
        <v>0</v>
      </c>
      <c r="D51" s="37"/>
      <c r="E51" s="37">
        <f t="shared" ca="1" si="0"/>
        <v>0</v>
      </c>
      <c r="F51" s="32" t="str">
        <f t="shared" ca="1" si="1"/>
        <v/>
      </c>
      <c r="G51" s="28"/>
      <c r="K51" s="33" t="str">
        <f>給与集計!B52</f>
        <v>00048</v>
      </c>
      <c r="L51" s="1" t="str">
        <f>給与集計!D52</f>
        <v>サンプル　太郎48</v>
      </c>
      <c r="M51" s="32"/>
      <c r="N51" s="37"/>
      <c r="O51" s="37">
        <f t="shared" si="2"/>
        <v>0</v>
      </c>
      <c r="P51" s="32"/>
      <c r="Q51" s="37"/>
      <c r="R51" s="37">
        <f t="shared" si="3"/>
        <v>0</v>
      </c>
      <c r="S51" s="37">
        <f t="shared" si="4"/>
        <v>0</v>
      </c>
      <c r="T51" s="74"/>
      <c r="U51" s="37">
        <f t="shared" si="5"/>
        <v>0</v>
      </c>
      <c r="V51" s="32" t="str">
        <f t="shared" si="6"/>
        <v/>
      </c>
      <c r="W51" s="30"/>
    </row>
    <row r="52" spans="1:23">
      <c r="A52" s="33" t="str">
        <f>給与集計!B53</f>
        <v>00049</v>
      </c>
      <c r="B52" s="1" t="str">
        <f>給与集計!D53</f>
        <v>サンプル　太郎49</v>
      </c>
      <c r="C52" s="32">
        <f ca="1">給与集計!S53</f>
        <v>0</v>
      </c>
      <c r="D52" s="37"/>
      <c r="E52" s="37">
        <f t="shared" ca="1" si="0"/>
        <v>0</v>
      </c>
      <c r="F52" s="32" t="str">
        <f t="shared" ca="1" si="1"/>
        <v/>
      </c>
      <c r="G52" s="28"/>
      <c r="K52" s="33" t="str">
        <f>給与集計!B53</f>
        <v>00049</v>
      </c>
      <c r="L52" s="1" t="str">
        <f>給与集計!D53</f>
        <v>サンプル　太郎49</v>
      </c>
      <c r="M52" s="32"/>
      <c r="N52" s="37"/>
      <c r="O52" s="37">
        <f t="shared" si="2"/>
        <v>0</v>
      </c>
      <c r="P52" s="32"/>
      <c r="Q52" s="37"/>
      <c r="R52" s="37">
        <f t="shared" si="3"/>
        <v>0</v>
      </c>
      <c r="S52" s="37">
        <f t="shared" si="4"/>
        <v>0</v>
      </c>
      <c r="T52" s="74"/>
      <c r="U52" s="37">
        <f t="shared" si="5"/>
        <v>0</v>
      </c>
      <c r="V52" s="32" t="str">
        <f t="shared" si="6"/>
        <v/>
      </c>
      <c r="W52" s="30"/>
    </row>
    <row r="53" spans="1:23">
      <c r="A53" s="33" t="str">
        <f>給与集計!B54</f>
        <v>00050</v>
      </c>
      <c r="B53" s="1" t="str">
        <f>給与集計!D54</f>
        <v>サンプル　太郎50</v>
      </c>
      <c r="C53" s="32">
        <f ca="1">給与集計!S54</f>
        <v>0</v>
      </c>
      <c r="D53" s="37"/>
      <c r="E53" s="37">
        <f t="shared" ca="1" si="0"/>
        <v>0</v>
      </c>
      <c r="F53" s="32" t="str">
        <f t="shared" ca="1" si="1"/>
        <v/>
      </c>
      <c r="G53" s="28"/>
      <c r="K53" s="33" t="str">
        <f>給与集計!B54</f>
        <v>00050</v>
      </c>
      <c r="L53" s="1" t="str">
        <f>給与集計!D54</f>
        <v>サンプル　太郎50</v>
      </c>
      <c r="M53" s="32"/>
      <c r="N53" s="37"/>
      <c r="O53" s="37">
        <f t="shared" si="2"/>
        <v>0</v>
      </c>
      <c r="P53" s="32"/>
      <c r="Q53" s="37"/>
      <c r="R53" s="37">
        <f t="shared" si="3"/>
        <v>0</v>
      </c>
      <c r="S53" s="37">
        <f t="shared" si="4"/>
        <v>0</v>
      </c>
      <c r="T53" s="74"/>
      <c r="U53" s="37">
        <f t="shared" si="5"/>
        <v>0</v>
      </c>
      <c r="V53" s="32" t="str">
        <f t="shared" si="6"/>
        <v/>
      </c>
      <c r="W53" s="30"/>
    </row>
    <row r="54" spans="1:23">
      <c r="A54" s="33" t="str">
        <f>給与集計!B55</f>
        <v>00051</v>
      </c>
      <c r="B54" s="1" t="str">
        <f>給与集計!D55</f>
        <v>サンプル　太郎51</v>
      </c>
      <c r="C54" s="32">
        <f ca="1">給与集計!S55</f>
        <v>0</v>
      </c>
      <c r="D54" s="37"/>
      <c r="E54" s="37">
        <f t="shared" ca="1" si="0"/>
        <v>0</v>
      </c>
      <c r="F54" s="32" t="str">
        <f t="shared" ca="1" si="1"/>
        <v/>
      </c>
      <c r="G54" s="28"/>
      <c r="K54" s="33" t="str">
        <f>給与集計!B55</f>
        <v>00051</v>
      </c>
      <c r="L54" s="1" t="str">
        <f>給与集計!D55</f>
        <v>サンプル　太郎51</v>
      </c>
      <c r="M54" s="32"/>
      <c r="N54" s="37"/>
      <c r="O54" s="37">
        <f t="shared" si="2"/>
        <v>0</v>
      </c>
      <c r="P54" s="32"/>
      <c r="Q54" s="37"/>
      <c r="R54" s="37">
        <f t="shared" si="3"/>
        <v>0</v>
      </c>
      <c r="S54" s="37">
        <f t="shared" si="4"/>
        <v>0</v>
      </c>
      <c r="T54" s="74"/>
      <c r="U54" s="37">
        <f t="shared" si="5"/>
        <v>0</v>
      </c>
      <c r="V54" s="32" t="str">
        <f t="shared" si="6"/>
        <v/>
      </c>
      <c r="W54" s="30"/>
    </row>
    <row r="55" spans="1:23">
      <c r="A55" s="33" t="str">
        <f>給与集計!B56</f>
        <v>00052</v>
      </c>
      <c r="B55" s="1" t="str">
        <f>給与集計!D56</f>
        <v>サンプル　太郎52</v>
      </c>
      <c r="C55" s="32">
        <f ca="1">給与集計!S56</f>
        <v>0</v>
      </c>
      <c r="D55" s="37"/>
      <c r="E55" s="37">
        <f t="shared" ca="1" si="0"/>
        <v>0</v>
      </c>
      <c r="F55" s="32" t="str">
        <f t="shared" ca="1" si="1"/>
        <v/>
      </c>
      <c r="G55" s="28"/>
      <c r="K55" s="33" t="str">
        <f>給与集計!B56</f>
        <v>00052</v>
      </c>
      <c r="L55" s="1" t="str">
        <f>給与集計!D56</f>
        <v>サンプル　太郎52</v>
      </c>
      <c r="M55" s="32"/>
      <c r="N55" s="37"/>
      <c r="O55" s="37">
        <f t="shared" si="2"/>
        <v>0</v>
      </c>
      <c r="P55" s="32"/>
      <c r="Q55" s="37"/>
      <c r="R55" s="37">
        <f t="shared" si="3"/>
        <v>0</v>
      </c>
      <c r="S55" s="37">
        <f t="shared" si="4"/>
        <v>0</v>
      </c>
      <c r="T55" s="74"/>
      <c r="U55" s="37">
        <f t="shared" si="5"/>
        <v>0</v>
      </c>
      <c r="V55" s="32" t="str">
        <f t="shared" si="6"/>
        <v/>
      </c>
      <c r="W55" s="30"/>
    </row>
    <row r="56" spans="1:23">
      <c r="A56" s="33" t="str">
        <f>給与集計!B57</f>
        <v>00053</v>
      </c>
      <c r="B56" s="1" t="str">
        <f>給与集計!D57</f>
        <v>サンプル　太郎53</v>
      </c>
      <c r="C56" s="32">
        <f ca="1">給与集計!S57</f>
        <v>0</v>
      </c>
      <c r="D56" s="37"/>
      <c r="E56" s="37">
        <f t="shared" ca="1" si="0"/>
        <v>0</v>
      </c>
      <c r="F56" s="32" t="str">
        <f t="shared" ca="1" si="1"/>
        <v/>
      </c>
      <c r="G56" s="28"/>
      <c r="K56" s="33" t="str">
        <f>給与集計!B57</f>
        <v>00053</v>
      </c>
      <c r="L56" s="1" t="str">
        <f>給与集計!D57</f>
        <v>サンプル　太郎53</v>
      </c>
      <c r="M56" s="32"/>
      <c r="N56" s="37"/>
      <c r="O56" s="37">
        <f t="shared" si="2"/>
        <v>0</v>
      </c>
      <c r="P56" s="32"/>
      <c r="Q56" s="37"/>
      <c r="R56" s="37">
        <f t="shared" si="3"/>
        <v>0</v>
      </c>
      <c r="S56" s="37">
        <f t="shared" si="4"/>
        <v>0</v>
      </c>
      <c r="T56" s="74"/>
      <c r="U56" s="37">
        <f t="shared" si="5"/>
        <v>0</v>
      </c>
      <c r="V56" s="32" t="str">
        <f t="shared" si="6"/>
        <v/>
      </c>
      <c r="W56" s="30"/>
    </row>
    <row r="57" spans="1:23">
      <c r="A57" s="33" t="str">
        <f>給与集計!B58</f>
        <v>00054</v>
      </c>
      <c r="B57" s="1" t="str">
        <f>給与集計!D58</f>
        <v>サンプル　太郎54</v>
      </c>
      <c r="C57" s="32">
        <f ca="1">給与集計!S58</f>
        <v>0</v>
      </c>
      <c r="D57" s="37"/>
      <c r="E57" s="37">
        <f t="shared" ca="1" si="0"/>
        <v>0</v>
      </c>
      <c r="F57" s="32" t="str">
        <f t="shared" ca="1" si="1"/>
        <v/>
      </c>
      <c r="G57" s="28"/>
      <c r="K57" s="33" t="str">
        <f>給与集計!B58</f>
        <v>00054</v>
      </c>
      <c r="L57" s="1" t="str">
        <f>給与集計!D58</f>
        <v>サンプル　太郎54</v>
      </c>
      <c r="M57" s="32"/>
      <c r="N57" s="37"/>
      <c r="O57" s="37">
        <f t="shared" si="2"/>
        <v>0</v>
      </c>
      <c r="P57" s="32"/>
      <c r="Q57" s="37"/>
      <c r="R57" s="37">
        <f t="shared" si="3"/>
        <v>0</v>
      </c>
      <c r="S57" s="37">
        <f t="shared" si="4"/>
        <v>0</v>
      </c>
      <c r="T57" s="74"/>
      <c r="U57" s="37">
        <f t="shared" si="5"/>
        <v>0</v>
      </c>
      <c r="V57" s="32" t="str">
        <f t="shared" si="6"/>
        <v/>
      </c>
      <c r="W57" s="30"/>
    </row>
    <row r="58" spans="1:23">
      <c r="A58" s="33" t="str">
        <f>給与集計!B59</f>
        <v>00055</v>
      </c>
      <c r="B58" s="1" t="str">
        <f>給与集計!D59</f>
        <v>サンプル　太郎55</v>
      </c>
      <c r="C58" s="32">
        <f ca="1">給与集計!S59</f>
        <v>0</v>
      </c>
      <c r="D58" s="37"/>
      <c r="E58" s="37">
        <f t="shared" ca="1" si="0"/>
        <v>0</v>
      </c>
      <c r="F58" s="32" t="str">
        <f t="shared" ca="1" si="1"/>
        <v/>
      </c>
      <c r="G58" s="28"/>
      <c r="K58" s="33" t="str">
        <f>給与集計!B59</f>
        <v>00055</v>
      </c>
      <c r="L58" s="1" t="str">
        <f>給与集計!D59</f>
        <v>サンプル　太郎55</v>
      </c>
      <c r="M58" s="32"/>
      <c r="N58" s="37"/>
      <c r="O58" s="37">
        <f t="shared" si="2"/>
        <v>0</v>
      </c>
      <c r="P58" s="32"/>
      <c r="Q58" s="37"/>
      <c r="R58" s="37">
        <f t="shared" si="3"/>
        <v>0</v>
      </c>
      <c r="S58" s="37">
        <f t="shared" si="4"/>
        <v>0</v>
      </c>
      <c r="T58" s="74"/>
      <c r="U58" s="37">
        <f t="shared" si="5"/>
        <v>0</v>
      </c>
      <c r="V58" s="32" t="str">
        <f t="shared" si="6"/>
        <v/>
      </c>
      <c r="W58" s="30"/>
    </row>
    <row r="59" spans="1:23">
      <c r="A59" s="33" t="str">
        <f>給与集計!B60</f>
        <v>00056</v>
      </c>
      <c r="B59" s="1" t="str">
        <f>給与集計!D60</f>
        <v>サンプル　太郎56</v>
      </c>
      <c r="C59" s="32">
        <f ca="1">給与集計!S60</f>
        <v>0</v>
      </c>
      <c r="D59" s="37"/>
      <c r="E59" s="37">
        <f t="shared" ca="1" si="0"/>
        <v>0</v>
      </c>
      <c r="F59" s="32" t="str">
        <f t="shared" ca="1" si="1"/>
        <v/>
      </c>
      <c r="G59" s="28"/>
      <c r="K59" s="33" t="str">
        <f>給与集計!B60</f>
        <v>00056</v>
      </c>
      <c r="L59" s="1" t="str">
        <f>給与集計!D60</f>
        <v>サンプル　太郎56</v>
      </c>
      <c r="M59" s="32"/>
      <c r="N59" s="37"/>
      <c r="O59" s="37">
        <f t="shared" si="2"/>
        <v>0</v>
      </c>
      <c r="P59" s="32"/>
      <c r="Q59" s="37"/>
      <c r="R59" s="37">
        <f t="shared" si="3"/>
        <v>0</v>
      </c>
      <c r="S59" s="37">
        <f t="shared" si="4"/>
        <v>0</v>
      </c>
      <c r="T59" s="74"/>
      <c r="U59" s="37">
        <f t="shared" si="5"/>
        <v>0</v>
      </c>
      <c r="V59" s="32" t="str">
        <f t="shared" si="6"/>
        <v/>
      </c>
      <c r="W59" s="30"/>
    </row>
    <row r="60" spans="1:23">
      <c r="A60" s="33" t="str">
        <f>給与集計!B61</f>
        <v>00057</v>
      </c>
      <c r="B60" s="1" t="str">
        <f>給与集計!D61</f>
        <v>サンプル　太郎57</v>
      </c>
      <c r="C60" s="32">
        <f ca="1">給与集計!S61</f>
        <v>0</v>
      </c>
      <c r="D60" s="37"/>
      <c r="E60" s="37">
        <f t="shared" ca="1" si="0"/>
        <v>0</v>
      </c>
      <c r="F60" s="32" t="str">
        <f t="shared" ca="1" si="1"/>
        <v/>
      </c>
      <c r="G60" s="28"/>
      <c r="K60" s="33" t="str">
        <f>給与集計!B61</f>
        <v>00057</v>
      </c>
      <c r="L60" s="1" t="str">
        <f>給与集計!D61</f>
        <v>サンプル　太郎57</v>
      </c>
      <c r="M60" s="32"/>
      <c r="N60" s="37"/>
      <c r="O60" s="37">
        <f t="shared" si="2"/>
        <v>0</v>
      </c>
      <c r="P60" s="32"/>
      <c r="Q60" s="37"/>
      <c r="R60" s="37">
        <f t="shared" si="3"/>
        <v>0</v>
      </c>
      <c r="S60" s="37">
        <f t="shared" si="4"/>
        <v>0</v>
      </c>
      <c r="T60" s="74"/>
      <c r="U60" s="37">
        <f t="shared" si="5"/>
        <v>0</v>
      </c>
      <c r="V60" s="32" t="str">
        <f t="shared" si="6"/>
        <v/>
      </c>
      <c r="W60" s="30"/>
    </row>
    <row r="61" spans="1:23">
      <c r="A61" s="33" t="str">
        <f>給与集計!B62</f>
        <v>00058</v>
      </c>
      <c r="B61" s="1" t="str">
        <f>給与集計!D62</f>
        <v>サンプル　太郎58</v>
      </c>
      <c r="C61" s="32">
        <f ca="1">給与集計!S62</f>
        <v>0</v>
      </c>
      <c r="D61" s="37"/>
      <c r="E61" s="37">
        <f t="shared" ca="1" si="0"/>
        <v>0</v>
      </c>
      <c r="F61" s="32" t="str">
        <f t="shared" ca="1" si="1"/>
        <v/>
      </c>
      <c r="G61" s="28"/>
      <c r="K61" s="33" t="str">
        <f>給与集計!B62</f>
        <v>00058</v>
      </c>
      <c r="L61" s="1" t="str">
        <f>給与集計!D62</f>
        <v>サンプル　太郎58</v>
      </c>
      <c r="M61" s="32"/>
      <c r="N61" s="37"/>
      <c r="O61" s="37">
        <f t="shared" si="2"/>
        <v>0</v>
      </c>
      <c r="P61" s="32"/>
      <c r="Q61" s="37"/>
      <c r="R61" s="37">
        <f t="shared" si="3"/>
        <v>0</v>
      </c>
      <c r="S61" s="37">
        <f t="shared" si="4"/>
        <v>0</v>
      </c>
      <c r="T61" s="74"/>
      <c r="U61" s="37">
        <f t="shared" si="5"/>
        <v>0</v>
      </c>
      <c r="V61" s="32" t="str">
        <f t="shared" si="6"/>
        <v/>
      </c>
      <c r="W61" s="30"/>
    </row>
    <row r="62" spans="1:23">
      <c r="A62" s="33" t="str">
        <f>給与集計!B63</f>
        <v>00059</v>
      </c>
      <c r="B62" s="1" t="str">
        <f>給与集計!D63</f>
        <v>サンプル　太郎59</v>
      </c>
      <c r="C62" s="32">
        <f ca="1">給与集計!S63</f>
        <v>0</v>
      </c>
      <c r="D62" s="37"/>
      <c r="E62" s="37">
        <f t="shared" ca="1" si="0"/>
        <v>0</v>
      </c>
      <c r="F62" s="32" t="str">
        <f t="shared" ca="1" si="1"/>
        <v/>
      </c>
      <c r="G62" s="28"/>
      <c r="K62" s="33" t="str">
        <f>給与集計!B63</f>
        <v>00059</v>
      </c>
      <c r="L62" s="1" t="str">
        <f>給与集計!D63</f>
        <v>サンプル　太郎59</v>
      </c>
      <c r="M62" s="32"/>
      <c r="N62" s="37"/>
      <c r="O62" s="37">
        <f t="shared" si="2"/>
        <v>0</v>
      </c>
      <c r="P62" s="32"/>
      <c r="Q62" s="37"/>
      <c r="R62" s="37">
        <f t="shared" si="3"/>
        <v>0</v>
      </c>
      <c r="S62" s="37">
        <f t="shared" si="4"/>
        <v>0</v>
      </c>
      <c r="T62" s="74"/>
      <c r="U62" s="37">
        <f t="shared" si="5"/>
        <v>0</v>
      </c>
      <c r="V62" s="32" t="str">
        <f t="shared" si="6"/>
        <v/>
      </c>
      <c r="W62" s="30"/>
    </row>
    <row r="63" spans="1:23">
      <c r="A63" s="33" t="str">
        <f>給与集計!B64</f>
        <v>00060</v>
      </c>
      <c r="B63" s="1" t="str">
        <f>給与集計!D64</f>
        <v>サンプル　太郎60</v>
      </c>
      <c r="C63" s="32">
        <f ca="1">給与集計!S64</f>
        <v>0</v>
      </c>
      <c r="D63" s="37"/>
      <c r="E63" s="37">
        <f t="shared" ca="1" si="0"/>
        <v>0</v>
      </c>
      <c r="F63" s="32" t="str">
        <f t="shared" ca="1" si="1"/>
        <v/>
      </c>
      <c r="G63" s="28"/>
      <c r="K63" s="33" t="str">
        <f>給与集計!B64</f>
        <v>00060</v>
      </c>
      <c r="L63" s="1" t="str">
        <f>給与集計!D64</f>
        <v>サンプル　太郎60</v>
      </c>
      <c r="M63" s="32"/>
      <c r="N63" s="37"/>
      <c r="O63" s="37">
        <f t="shared" si="2"/>
        <v>0</v>
      </c>
      <c r="P63" s="32"/>
      <c r="Q63" s="37"/>
      <c r="R63" s="37">
        <f t="shared" si="3"/>
        <v>0</v>
      </c>
      <c r="S63" s="37">
        <f t="shared" si="4"/>
        <v>0</v>
      </c>
      <c r="T63" s="74"/>
      <c r="U63" s="37">
        <f t="shared" si="5"/>
        <v>0</v>
      </c>
      <c r="V63" s="32" t="str">
        <f t="shared" si="6"/>
        <v/>
      </c>
      <c r="W63" s="30"/>
    </row>
    <row r="64" spans="1:23">
      <c r="A64" s="33" t="str">
        <f>給与集計!B65</f>
        <v>00061</v>
      </c>
      <c r="B64" s="1" t="str">
        <f>給与集計!D65</f>
        <v>サンプル　太郎61</v>
      </c>
      <c r="C64" s="32">
        <f ca="1">給与集計!S65</f>
        <v>0</v>
      </c>
      <c r="D64" s="37"/>
      <c r="E64" s="37">
        <f t="shared" ca="1" si="0"/>
        <v>0</v>
      </c>
      <c r="F64" s="32" t="str">
        <f t="shared" ca="1" si="1"/>
        <v/>
      </c>
      <c r="G64" s="28"/>
      <c r="K64" s="33" t="str">
        <f>給与集計!B65</f>
        <v>00061</v>
      </c>
      <c r="L64" s="1" t="str">
        <f>給与集計!D65</f>
        <v>サンプル　太郎61</v>
      </c>
      <c r="M64" s="32"/>
      <c r="N64" s="37"/>
      <c r="O64" s="37">
        <f t="shared" si="2"/>
        <v>0</v>
      </c>
      <c r="P64" s="32"/>
      <c r="Q64" s="37"/>
      <c r="R64" s="37">
        <f t="shared" si="3"/>
        <v>0</v>
      </c>
      <c r="S64" s="37">
        <f t="shared" si="4"/>
        <v>0</v>
      </c>
      <c r="T64" s="74"/>
      <c r="U64" s="37">
        <f t="shared" si="5"/>
        <v>0</v>
      </c>
      <c r="V64" s="32" t="str">
        <f t="shared" si="6"/>
        <v/>
      </c>
      <c r="W64" s="30"/>
    </row>
    <row r="65" spans="1:23">
      <c r="A65" s="33" t="str">
        <f>給与集計!B66</f>
        <v>00062</v>
      </c>
      <c r="B65" s="1" t="str">
        <f>給与集計!D66</f>
        <v>サンプル　太郎62</v>
      </c>
      <c r="C65" s="32">
        <f ca="1">給与集計!S66</f>
        <v>0</v>
      </c>
      <c r="D65" s="37"/>
      <c r="E65" s="37">
        <f t="shared" ca="1" si="0"/>
        <v>0</v>
      </c>
      <c r="F65" s="32" t="str">
        <f t="shared" ca="1" si="1"/>
        <v/>
      </c>
      <c r="G65" s="28"/>
      <c r="K65" s="33" t="str">
        <f>給与集計!B66</f>
        <v>00062</v>
      </c>
      <c r="L65" s="1" t="str">
        <f>給与集計!D66</f>
        <v>サンプル　太郎62</v>
      </c>
      <c r="M65" s="32"/>
      <c r="N65" s="37"/>
      <c r="O65" s="37">
        <f t="shared" si="2"/>
        <v>0</v>
      </c>
      <c r="P65" s="32"/>
      <c r="Q65" s="37"/>
      <c r="R65" s="37">
        <f t="shared" si="3"/>
        <v>0</v>
      </c>
      <c r="S65" s="37">
        <f t="shared" si="4"/>
        <v>0</v>
      </c>
      <c r="T65" s="74"/>
      <c r="U65" s="37">
        <f t="shared" si="5"/>
        <v>0</v>
      </c>
      <c r="V65" s="32" t="str">
        <f t="shared" si="6"/>
        <v/>
      </c>
      <c r="W65" s="30"/>
    </row>
    <row r="66" spans="1:23">
      <c r="A66" s="33" t="str">
        <f>給与集計!B67</f>
        <v>00063</v>
      </c>
      <c r="B66" s="1" t="str">
        <f>給与集計!D67</f>
        <v>サンプル　太郎63</v>
      </c>
      <c r="C66" s="32">
        <f ca="1">給与集計!S67</f>
        <v>0</v>
      </c>
      <c r="D66" s="37"/>
      <c r="E66" s="37">
        <f t="shared" ca="1" si="0"/>
        <v>0</v>
      </c>
      <c r="F66" s="32" t="str">
        <f t="shared" ca="1" si="1"/>
        <v/>
      </c>
      <c r="G66" s="28"/>
      <c r="K66" s="33" t="str">
        <f>給与集計!B67</f>
        <v>00063</v>
      </c>
      <c r="L66" s="1" t="str">
        <f>給与集計!D67</f>
        <v>サンプル　太郎63</v>
      </c>
      <c r="M66" s="32"/>
      <c r="N66" s="37"/>
      <c r="O66" s="37">
        <f t="shared" si="2"/>
        <v>0</v>
      </c>
      <c r="P66" s="32"/>
      <c r="Q66" s="37"/>
      <c r="R66" s="37">
        <f t="shared" si="3"/>
        <v>0</v>
      </c>
      <c r="S66" s="37">
        <f t="shared" si="4"/>
        <v>0</v>
      </c>
      <c r="T66" s="74"/>
      <c r="U66" s="37">
        <f t="shared" si="5"/>
        <v>0</v>
      </c>
      <c r="V66" s="32" t="str">
        <f t="shared" si="6"/>
        <v/>
      </c>
      <c r="W66" s="30"/>
    </row>
    <row r="67" spans="1:23">
      <c r="A67" s="33" t="str">
        <f>給与集計!B68</f>
        <v>00064</v>
      </c>
      <c r="B67" s="1" t="str">
        <f>給与集計!D68</f>
        <v>サンプル　太郎64</v>
      </c>
      <c r="C67" s="32">
        <f ca="1">給与集計!S68</f>
        <v>0</v>
      </c>
      <c r="D67" s="37"/>
      <c r="E67" s="37">
        <f t="shared" ca="1" si="0"/>
        <v>0</v>
      </c>
      <c r="F67" s="32" t="str">
        <f t="shared" ca="1" si="1"/>
        <v/>
      </c>
      <c r="G67" s="28"/>
      <c r="K67" s="33" t="str">
        <f>給与集計!B68</f>
        <v>00064</v>
      </c>
      <c r="L67" s="1" t="str">
        <f>給与集計!D68</f>
        <v>サンプル　太郎64</v>
      </c>
      <c r="M67" s="32"/>
      <c r="N67" s="37"/>
      <c r="O67" s="37">
        <f t="shared" si="2"/>
        <v>0</v>
      </c>
      <c r="P67" s="32"/>
      <c r="Q67" s="37"/>
      <c r="R67" s="37">
        <f t="shared" si="3"/>
        <v>0</v>
      </c>
      <c r="S67" s="37">
        <f t="shared" si="4"/>
        <v>0</v>
      </c>
      <c r="T67" s="74"/>
      <c r="U67" s="37">
        <f t="shared" si="5"/>
        <v>0</v>
      </c>
      <c r="V67" s="32" t="str">
        <f t="shared" si="6"/>
        <v/>
      </c>
      <c r="W67" s="30"/>
    </row>
    <row r="68" spans="1:23">
      <c r="A68" s="33" t="str">
        <f>給与集計!B69</f>
        <v>00065</v>
      </c>
      <c r="B68" s="1" t="str">
        <f>給与集計!D69</f>
        <v>サンプル　太郎65</v>
      </c>
      <c r="C68" s="32">
        <f ca="1">給与集計!S69</f>
        <v>0</v>
      </c>
      <c r="D68" s="37"/>
      <c r="E68" s="37">
        <f t="shared" ca="1" si="0"/>
        <v>0</v>
      </c>
      <c r="F68" s="32" t="str">
        <f t="shared" ca="1" si="1"/>
        <v/>
      </c>
      <c r="G68" s="28"/>
      <c r="K68" s="33" t="str">
        <f>給与集計!B69</f>
        <v>00065</v>
      </c>
      <c r="L68" s="1" t="str">
        <f>給与集計!D69</f>
        <v>サンプル　太郎65</v>
      </c>
      <c r="M68" s="32"/>
      <c r="N68" s="37"/>
      <c r="O68" s="37">
        <f t="shared" si="2"/>
        <v>0</v>
      </c>
      <c r="P68" s="32"/>
      <c r="Q68" s="37"/>
      <c r="R68" s="37">
        <f t="shared" si="3"/>
        <v>0</v>
      </c>
      <c r="S68" s="37">
        <f t="shared" si="4"/>
        <v>0</v>
      </c>
      <c r="T68" s="74"/>
      <c r="U68" s="37">
        <f t="shared" si="5"/>
        <v>0</v>
      </c>
      <c r="V68" s="32" t="str">
        <f t="shared" si="6"/>
        <v/>
      </c>
      <c r="W68" s="30"/>
    </row>
    <row r="69" spans="1:23">
      <c r="A69" s="33" t="str">
        <f>給与集計!B70</f>
        <v>00066</v>
      </c>
      <c r="B69" s="1" t="str">
        <f>給与集計!D70</f>
        <v>サンプル　太郎66</v>
      </c>
      <c r="C69" s="32">
        <f ca="1">給与集計!S70</f>
        <v>0</v>
      </c>
      <c r="D69" s="37"/>
      <c r="E69" s="37">
        <f t="shared" ref="E69:E89" ca="1" si="7">C69*D69</f>
        <v>0</v>
      </c>
      <c r="F69" s="32" t="str">
        <f t="shared" ref="F69:F89" ca="1" si="8">IF(E69=0,"","振込")</f>
        <v/>
      </c>
      <c r="G69" s="28"/>
      <c r="K69" s="33" t="str">
        <f>給与集計!B70</f>
        <v>00066</v>
      </c>
      <c r="L69" s="1" t="str">
        <f>給与集計!D70</f>
        <v>サンプル　太郎66</v>
      </c>
      <c r="M69" s="32"/>
      <c r="N69" s="37"/>
      <c r="O69" s="37">
        <f t="shared" ref="O69:O89" si="9">M69*N69</f>
        <v>0</v>
      </c>
      <c r="P69" s="32"/>
      <c r="Q69" s="37"/>
      <c r="R69" s="37">
        <f t="shared" ref="R69:R89" si="10">P69*Q69</f>
        <v>0</v>
      </c>
      <c r="S69" s="37">
        <f t="shared" ref="S69:S89" si="11">SUM(O69,R69)</f>
        <v>0</v>
      </c>
      <c r="T69" s="74"/>
      <c r="U69" s="37">
        <f t="shared" ref="U69:U89" si="12">S69-T69</f>
        <v>0</v>
      </c>
      <c r="V69" s="32" t="str">
        <f t="shared" ref="V69:V89" si="13">IF(U69=0,"","振込")</f>
        <v/>
      </c>
      <c r="W69" s="30"/>
    </row>
    <row r="70" spans="1:23">
      <c r="A70" s="33" t="str">
        <f>給与集計!B71</f>
        <v>00067</v>
      </c>
      <c r="B70" s="1" t="str">
        <f>給与集計!D71</f>
        <v>サンプル　太郎67</v>
      </c>
      <c r="C70" s="32">
        <f ca="1">給与集計!S71</f>
        <v>0</v>
      </c>
      <c r="D70" s="37"/>
      <c r="E70" s="37">
        <f t="shared" ca="1" si="7"/>
        <v>0</v>
      </c>
      <c r="F70" s="32" t="str">
        <f t="shared" ca="1" si="8"/>
        <v/>
      </c>
      <c r="G70" s="28"/>
      <c r="K70" s="33" t="str">
        <f>給与集計!B71</f>
        <v>00067</v>
      </c>
      <c r="L70" s="1" t="str">
        <f>給与集計!D71</f>
        <v>サンプル　太郎67</v>
      </c>
      <c r="M70" s="32"/>
      <c r="N70" s="37"/>
      <c r="O70" s="37">
        <f t="shared" si="9"/>
        <v>0</v>
      </c>
      <c r="P70" s="32"/>
      <c r="Q70" s="37"/>
      <c r="R70" s="37">
        <f t="shared" si="10"/>
        <v>0</v>
      </c>
      <c r="S70" s="37">
        <f t="shared" si="11"/>
        <v>0</v>
      </c>
      <c r="T70" s="74"/>
      <c r="U70" s="37">
        <f t="shared" si="12"/>
        <v>0</v>
      </c>
      <c r="V70" s="32" t="str">
        <f t="shared" si="13"/>
        <v/>
      </c>
      <c r="W70" s="30"/>
    </row>
    <row r="71" spans="1:23">
      <c r="A71" s="33" t="str">
        <f>給与集計!B72</f>
        <v>00068</v>
      </c>
      <c r="B71" s="1" t="str">
        <f>給与集計!D72</f>
        <v>サンプル　太郎68</v>
      </c>
      <c r="C71" s="32">
        <f ca="1">給与集計!S72</f>
        <v>0</v>
      </c>
      <c r="D71" s="37"/>
      <c r="E71" s="37">
        <f t="shared" ca="1" si="7"/>
        <v>0</v>
      </c>
      <c r="F71" s="32" t="str">
        <f t="shared" ca="1" si="8"/>
        <v/>
      </c>
      <c r="G71" s="28"/>
      <c r="K71" s="33" t="str">
        <f>給与集計!B72</f>
        <v>00068</v>
      </c>
      <c r="L71" s="1" t="str">
        <f>給与集計!D72</f>
        <v>サンプル　太郎68</v>
      </c>
      <c r="M71" s="32"/>
      <c r="N71" s="37"/>
      <c r="O71" s="37">
        <f t="shared" si="9"/>
        <v>0</v>
      </c>
      <c r="P71" s="32"/>
      <c r="Q71" s="37"/>
      <c r="R71" s="37">
        <f t="shared" si="10"/>
        <v>0</v>
      </c>
      <c r="S71" s="37">
        <f t="shared" si="11"/>
        <v>0</v>
      </c>
      <c r="T71" s="74"/>
      <c r="U71" s="37">
        <f t="shared" si="12"/>
        <v>0</v>
      </c>
      <c r="V71" s="32" t="str">
        <f t="shared" si="13"/>
        <v/>
      </c>
      <c r="W71" s="30"/>
    </row>
    <row r="72" spans="1:23">
      <c r="A72" s="33" t="str">
        <f>給与集計!B73</f>
        <v>00069</v>
      </c>
      <c r="B72" s="1" t="str">
        <f>給与集計!D73</f>
        <v>サンプル　太郎69</v>
      </c>
      <c r="C72" s="32">
        <f ca="1">給与集計!S73</f>
        <v>0</v>
      </c>
      <c r="D72" s="37"/>
      <c r="E72" s="37">
        <f t="shared" ca="1" si="7"/>
        <v>0</v>
      </c>
      <c r="F72" s="32" t="str">
        <f t="shared" ca="1" si="8"/>
        <v/>
      </c>
      <c r="G72" s="28"/>
      <c r="K72" s="33" t="str">
        <f>給与集計!B73</f>
        <v>00069</v>
      </c>
      <c r="L72" s="1" t="str">
        <f>給与集計!D73</f>
        <v>サンプル　太郎69</v>
      </c>
      <c r="M72" s="32"/>
      <c r="N72" s="37"/>
      <c r="O72" s="37">
        <f t="shared" si="9"/>
        <v>0</v>
      </c>
      <c r="P72" s="32"/>
      <c r="Q72" s="37"/>
      <c r="R72" s="37">
        <f t="shared" si="10"/>
        <v>0</v>
      </c>
      <c r="S72" s="37">
        <f t="shared" si="11"/>
        <v>0</v>
      </c>
      <c r="T72" s="74"/>
      <c r="U72" s="37">
        <f t="shared" si="12"/>
        <v>0</v>
      </c>
      <c r="V72" s="32" t="str">
        <f t="shared" si="13"/>
        <v/>
      </c>
      <c r="W72" s="30"/>
    </row>
    <row r="73" spans="1:23">
      <c r="A73" s="33" t="str">
        <f>給与集計!B74</f>
        <v>00070</v>
      </c>
      <c r="B73" s="1" t="str">
        <f>給与集計!D74</f>
        <v>サンプル　太郎70</v>
      </c>
      <c r="C73" s="32">
        <f ca="1">給与集計!S74</f>
        <v>0</v>
      </c>
      <c r="D73" s="37"/>
      <c r="E73" s="37">
        <f t="shared" ca="1" si="7"/>
        <v>0</v>
      </c>
      <c r="F73" s="32" t="str">
        <f t="shared" ca="1" si="8"/>
        <v/>
      </c>
      <c r="G73" s="28"/>
      <c r="K73" s="33" t="str">
        <f>給与集計!B74</f>
        <v>00070</v>
      </c>
      <c r="L73" s="1" t="str">
        <f>給与集計!D74</f>
        <v>サンプル　太郎70</v>
      </c>
      <c r="M73" s="32"/>
      <c r="N73" s="37"/>
      <c r="O73" s="37">
        <f t="shared" si="9"/>
        <v>0</v>
      </c>
      <c r="P73" s="32"/>
      <c r="Q73" s="37"/>
      <c r="R73" s="37">
        <f t="shared" si="10"/>
        <v>0</v>
      </c>
      <c r="S73" s="37">
        <f t="shared" si="11"/>
        <v>0</v>
      </c>
      <c r="T73" s="74"/>
      <c r="U73" s="37">
        <f t="shared" si="12"/>
        <v>0</v>
      </c>
      <c r="V73" s="32" t="str">
        <f t="shared" si="13"/>
        <v/>
      </c>
      <c r="W73" s="30"/>
    </row>
    <row r="74" spans="1:23">
      <c r="A74" s="33" t="str">
        <f>給与集計!B75</f>
        <v>00071</v>
      </c>
      <c r="B74" s="1" t="str">
        <f>給与集計!D75</f>
        <v>サンプル　太郎71</v>
      </c>
      <c r="C74" s="32">
        <f ca="1">給与集計!S75</f>
        <v>0</v>
      </c>
      <c r="D74" s="37"/>
      <c r="E74" s="37">
        <f t="shared" ca="1" si="7"/>
        <v>0</v>
      </c>
      <c r="F74" s="32" t="str">
        <f t="shared" ca="1" si="8"/>
        <v/>
      </c>
      <c r="G74" s="28"/>
      <c r="K74" s="33" t="str">
        <f>給与集計!B75</f>
        <v>00071</v>
      </c>
      <c r="L74" s="1" t="str">
        <f>給与集計!D75</f>
        <v>サンプル　太郎71</v>
      </c>
      <c r="M74" s="32"/>
      <c r="N74" s="37"/>
      <c r="O74" s="37">
        <f t="shared" si="9"/>
        <v>0</v>
      </c>
      <c r="P74" s="32"/>
      <c r="Q74" s="37"/>
      <c r="R74" s="37">
        <f t="shared" si="10"/>
        <v>0</v>
      </c>
      <c r="S74" s="37">
        <f t="shared" si="11"/>
        <v>0</v>
      </c>
      <c r="T74" s="74"/>
      <c r="U74" s="37">
        <f t="shared" si="12"/>
        <v>0</v>
      </c>
      <c r="V74" s="32" t="str">
        <f t="shared" si="13"/>
        <v/>
      </c>
      <c r="W74" s="30"/>
    </row>
    <row r="75" spans="1:23">
      <c r="A75" s="33" t="str">
        <f>給与集計!B76</f>
        <v>00072</v>
      </c>
      <c r="B75" s="1" t="str">
        <f>給与集計!D76</f>
        <v>サンプル　太郎72</v>
      </c>
      <c r="C75" s="32">
        <f ca="1">給与集計!S76</f>
        <v>0</v>
      </c>
      <c r="D75" s="37"/>
      <c r="E75" s="37">
        <f t="shared" ca="1" si="7"/>
        <v>0</v>
      </c>
      <c r="F75" s="32" t="str">
        <f t="shared" ca="1" si="8"/>
        <v/>
      </c>
      <c r="G75" s="28"/>
      <c r="K75" s="33" t="str">
        <f>給与集計!B76</f>
        <v>00072</v>
      </c>
      <c r="L75" s="1" t="str">
        <f>給与集計!D76</f>
        <v>サンプル　太郎72</v>
      </c>
      <c r="M75" s="32"/>
      <c r="N75" s="37"/>
      <c r="O75" s="37">
        <f t="shared" si="9"/>
        <v>0</v>
      </c>
      <c r="P75" s="32"/>
      <c r="Q75" s="37"/>
      <c r="R75" s="37">
        <f t="shared" si="10"/>
        <v>0</v>
      </c>
      <c r="S75" s="37">
        <f t="shared" si="11"/>
        <v>0</v>
      </c>
      <c r="T75" s="74"/>
      <c r="U75" s="37">
        <f t="shared" si="12"/>
        <v>0</v>
      </c>
      <c r="V75" s="32" t="str">
        <f t="shared" si="13"/>
        <v/>
      </c>
      <c r="W75" s="30"/>
    </row>
    <row r="76" spans="1:23">
      <c r="A76" s="33" t="str">
        <f>給与集計!B77</f>
        <v>00073</v>
      </c>
      <c r="B76" s="1" t="str">
        <f>給与集計!D77</f>
        <v>サンプル　太郎73</v>
      </c>
      <c r="C76" s="32">
        <f ca="1">給与集計!S77</f>
        <v>0</v>
      </c>
      <c r="D76" s="37"/>
      <c r="E76" s="37">
        <f t="shared" ca="1" si="7"/>
        <v>0</v>
      </c>
      <c r="F76" s="32" t="str">
        <f t="shared" ca="1" si="8"/>
        <v/>
      </c>
      <c r="G76" s="28"/>
      <c r="K76" s="33" t="str">
        <f>給与集計!B77</f>
        <v>00073</v>
      </c>
      <c r="L76" s="1" t="str">
        <f>給与集計!D77</f>
        <v>サンプル　太郎73</v>
      </c>
      <c r="M76" s="32"/>
      <c r="N76" s="37"/>
      <c r="O76" s="37">
        <f t="shared" si="9"/>
        <v>0</v>
      </c>
      <c r="P76" s="32"/>
      <c r="Q76" s="37"/>
      <c r="R76" s="37">
        <f t="shared" si="10"/>
        <v>0</v>
      </c>
      <c r="S76" s="37">
        <f t="shared" si="11"/>
        <v>0</v>
      </c>
      <c r="T76" s="74"/>
      <c r="U76" s="37">
        <f t="shared" si="12"/>
        <v>0</v>
      </c>
      <c r="V76" s="32" t="str">
        <f t="shared" si="13"/>
        <v/>
      </c>
      <c r="W76" s="30"/>
    </row>
    <row r="77" spans="1:23">
      <c r="A77" s="33" t="str">
        <f>給与集計!B78</f>
        <v>00074</v>
      </c>
      <c r="B77" s="1" t="str">
        <f>給与集計!D78</f>
        <v>サンプル　太郎74</v>
      </c>
      <c r="C77" s="32">
        <f ca="1">給与集計!S78</f>
        <v>0</v>
      </c>
      <c r="D77" s="37"/>
      <c r="E77" s="37">
        <f t="shared" ca="1" si="7"/>
        <v>0</v>
      </c>
      <c r="F77" s="32" t="str">
        <f t="shared" ca="1" si="8"/>
        <v/>
      </c>
      <c r="G77" s="28"/>
      <c r="K77" s="33" t="str">
        <f>給与集計!B78</f>
        <v>00074</v>
      </c>
      <c r="L77" s="1" t="str">
        <f>給与集計!D78</f>
        <v>サンプル　太郎74</v>
      </c>
      <c r="M77" s="32"/>
      <c r="N77" s="37"/>
      <c r="O77" s="37">
        <f t="shared" si="9"/>
        <v>0</v>
      </c>
      <c r="P77" s="32"/>
      <c r="Q77" s="37"/>
      <c r="R77" s="37">
        <f t="shared" si="10"/>
        <v>0</v>
      </c>
      <c r="S77" s="37">
        <f t="shared" si="11"/>
        <v>0</v>
      </c>
      <c r="T77" s="74"/>
      <c r="U77" s="37">
        <f t="shared" si="12"/>
        <v>0</v>
      </c>
      <c r="V77" s="32" t="str">
        <f t="shared" si="13"/>
        <v/>
      </c>
      <c r="W77" s="30"/>
    </row>
    <row r="78" spans="1:23">
      <c r="A78" s="33" t="str">
        <f>給与集計!B79</f>
        <v>00075</v>
      </c>
      <c r="B78" s="1" t="str">
        <f>給与集計!D79</f>
        <v>サンプル　太郎75</v>
      </c>
      <c r="C78" s="32">
        <f ca="1">給与集計!S79</f>
        <v>0</v>
      </c>
      <c r="D78" s="37"/>
      <c r="E78" s="37">
        <f t="shared" ca="1" si="7"/>
        <v>0</v>
      </c>
      <c r="F78" s="32" t="str">
        <f t="shared" ca="1" si="8"/>
        <v/>
      </c>
      <c r="G78" s="28"/>
      <c r="K78" s="33" t="str">
        <f>給与集計!B79</f>
        <v>00075</v>
      </c>
      <c r="L78" s="1" t="str">
        <f>給与集計!D79</f>
        <v>サンプル　太郎75</v>
      </c>
      <c r="M78" s="32"/>
      <c r="N78" s="37"/>
      <c r="O78" s="37">
        <f t="shared" si="9"/>
        <v>0</v>
      </c>
      <c r="P78" s="32"/>
      <c r="Q78" s="37"/>
      <c r="R78" s="37">
        <f t="shared" si="10"/>
        <v>0</v>
      </c>
      <c r="S78" s="37">
        <f t="shared" si="11"/>
        <v>0</v>
      </c>
      <c r="T78" s="74"/>
      <c r="U78" s="37">
        <f t="shared" si="12"/>
        <v>0</v>
      </c>
      <c r="V78" s="32" t="str">
        <f t="shared" si="13"/>
        <v/>
      </c>
      <c r="W78" s="30"/>
    </row>
    <row r="79" spans="1:23">
      <c r="A79" s="33" t="str">
        <f>給与集計!B80</f>
        <v>00076</v>
      </c>
      <c r="B79" s="1" t="str">
        <f>給与集計!D80</f>
        <v>サンプル　太郎76</v>
      </c>
      <c r="C79" s="32">
        <f ca="1">給与集計!S80</f>
        <v>0</v>
      </c>
      <c r="D79" s="37"/>
      <c r="E79" s="37">
        <f t="shared" ca="1" si="7"/>
        <v>0</v>
      </c>
      <c r="F79" s="32" t="str">
        <f t="shared" ca="1" si="8"/>
        <v/>
      </c>
      <c r="G79" s="28"/>
      <c r="K79" s="33" t="str">
        <f>給与集計!B80</f>
        <v>00076</v>
      </c>
      <c r="L79" s="1" t="str">
        <f>給与集計!D80</f>
        <v>サンプル　太郎76</v>
      </c>
      <c r="M79" s="32"/>
      <c r="N79" s="37"/>
      <c r="O79" s="37">
        <f t="shared" si="9"/>
        <v>0</v>
      </c>
      <c r="P79" s="32"/>
      <c r="Q79" s="37"/>
      <c r="R79" s="37">
        <f t="shared" si="10"/>
        <v>0</v>
      </c>
      <c r="S79" s="37">
        <f t="shared" si="11"/>
        <v>0</v>
      </c>
      <c r="T79" s="74"/>
      <c r="U79" s="37">
        <f t="shared" si="12"/>
        <v>0</v>
      </c>
      <c r="V79" s="32" t="str">
        <f t="shared" si="13"/>
        <v/>
      </c>
      <c r="W79" s="30"/>
    </row>
    <row r="80" spans="1:23">
      <c r="A80" s="33" t="str">
        <f>給与集計!B81</f>
        <v>00077</v>
      </c>
      <c r="B80" s="1" t="str">
        <f>給与集計!D81</f>
        <v>サンプル　太郎77</v>
      </c>
      <c r="C80" s="32">
        <f ca="1">給与集計!S81</f>
        <v>0</v>
      </c>
      <c r="D80" s="37"/>
      <c r="E80" s="37">
        <f t="shared" ca="1" si="7"/>
        <v>0</v>
      </c>
      <c r="F80" s="32" t="str">
        <f t="shared" ca="1" si="8"/>
        <v/>
      </c>
      <c r="G80" s="28"/>
      <c r="K80" s="33" t="str">
        <f>給与集計!B81</f>
        <v>00077</v>
      </c>
      <c r="L80" s="1" t="str">
        <f>給与集計!D81</f>
        <v>サンプル　太郎77</v>
      </c>
      <c r="M80" s="32"/>
      <c r="N80" s="37"/>
      <c r="O80" s="37">
        <f t="shared" si="9"/>
        <v>0</v>
      </c>
      <c r="P80" s="32"/>
      <c r="Q80" s="37"/>
      <c r="R80" s="37">
        <f t="shared" si="10"/>
        <v>0</v>
      </c>
      <c r="S80" s="37">
        <f t="shared" si="11"/>
        <v>0</v>
      </c>
      <c r="T80" s="74"/>
      <c r="U80" s="37">
        <f t="shared" si="12"/>
        <v>0</v>
      </c>
      <c r="V80" s="32" t="str">
        <f t="shared" si="13"/>
        <v/>
      </c>
      <c r="W80" s="30"/>
    </row>
    <row r="81" spans="1:23">
      <c r="A81" s="33" t="str">
        <f>給与集計!B82</f>
        <v>00078</v>
      </c>
      <c r="B81" s="1" t="str">
        <f>給与集計!D82</f>
        <v>サンプル　太郎78</v>
      </c>
      <c r="C81" s="32">
        <f ca="1">給与集計!S82</f>
        <v>0</v>
      </c>
      <c r="D81" s="37"/>
      <c r="E81" s="37">
        <f t="shared" ca="1" si="7"/>
        <v>0</v>
      </c>
      <c r="F81" s="32" t="str">
        <f t="shared" ca="1" si="8"/>
        <v/>
      </c>
      <c r="G81" s="28"/>
      <c r="K81" s="33" t="str">
        <f>給与集計!B82</f>
        <v>00078</v>
      </c>
      <c r="L81" s="1" t="str">
        <f>給与集計!D82</f>
        <v>サンプル　太郎78</v>
      </c>
      <c r="M81" s="32"/>
      <c r="N81" s="37"/>
      <c r="O81" s="37">
        <f t="shared" si="9"/>
        <v>0</v>
      </c>
      <c r="P81" s="32"/>
      <c r="Q81" s="37"/>
      <c r="R81" s="37">
        <f t="shared" si="10"/>
        <v>0</v>
      </c>
      <c r="S81" s="37">
        <f t="shared" si="11"/>
        <v>0</v>
      </c>
      <c r="T81" s="74"/>
      <c r="U81" s="37">
        <f t="shared" si="12"/>
        <v>0</v>
      </c>
      <c r="V81" s="32" t="str">
        <f t="shared" si="13"/>
        <v/>
      </c>
      <c r="W81" s="30"/>
    </row>
    <row r="82" spans="1:23">
      <c r="A82" s="33" t="str">
        <f>給与集計!B83</f>
        <v>00079</v>
      </c>
      <c r="B82" s="1" t="str">
        <f>給与集計!D83</f>
        <v>サンプル　太郎79</v>
      </c>
      <c r="C82" s="32">
        <f ca="1">給与集計!S83</f>
        <v>0</v>
      </c>
      <c r="D82" s="37"/>
      <c r="E82" s="37">
        <f t="shared" ca="1" si="7"/>
        <v>0</v>
      </c>
      <c r="F82" s="32" t="str">
        <f t="shared" ca="1" si="8"/>
        <v/>
      </c>
      <c r="G82" s="28"/>
      <c r="K82" s="33" t="str">
        <f>給与集計!B83</f>
        <v>00079</v>
      </c>
      <c r="L82" s="1" t="str">
        <f>給与集計!D83</f>
        <v>サンプル　太郎79</v>
      </c>
      <c r="M82" s="32"/>
      <c r="N82" s="37"/>
      <c r="O82" s="37">
        <f t="shared" si="9"/>
        <v>0</v>
      </c>
      <c r="P82" s="32"/>
      <c r="Q82" s="37"/>
      <c r="R82" s="37">
        <f t="shared" si="10"/>
        <v>0</v>
      </c>
      <c r="S82" s="37">
        <f t="shared" si="11"/>
        <v>0</v>
      </c>
      <c r="T82" s="74"/>
      <c r="U82" s="37">
        <f t="shared" si="12"/>
        <v>0</v>
      </c>
      <c r="V82" s="32" t="str">
        <f t="shared" si="13"/>
        <v/>
      </c>
      <c r="W82" s="30"/>
    </row>
    <row r="83" spans="1:23">
      <c r="A83" s="33" t="str">
        <f>給与集計!B84</f>
        <v>00080</v>
      </c>
      <c r="B83" s="1" t="str">
        <f>給与集計!D84</f>
        <v>サンプル　太郎80</v>
      </c>
      <c r="C83" s="32">
        <f ca="1">給与集計!S84</f>
        <v>0</v>
      </c>
      <c r="D83" s="37"/>
      <c r="E83" s="37">
        <f t="shared" ca="1" si="7"/>
        <v>0</v>
      </c>
      <c r="F83" s="32" t="str">
        <f t="shared" ca="1" si="8"/>
        <v/>
      </c>
      <c r="G83" s="28"/>
      <c r="K83" s="33" t="str">
        <f>給与集計!B84</f>
        <v>00080</v>
      </c>
      <c r="L83" s="1" t="str">
        <f>給与集計!D84</f>
        <v>サンプル　太郎80</v>
      </c>
      <c r="M83" s="32"/>
      <c r="N83" s="37"/>
      <c r="O83" s="37">
        <f t="shared" si="9"/>
        <v>0</v>
      </c>
      <c r="P83" s="32"/>
      <c r="Q83" s="37"/>
      <c r="R83" s="37">
        <f t="shared" si="10"/>
        <v>0</v>
      </c>
      <c r="S83" s="37">
        <f t="shared" si="11"/>
        <v>0</v>
      </c>
      <c r="T83" s="74"/>
      <c r="U83" s="37">
        <f t="shared" si="12"/>
        <v>0</v>
      </c>
      <c r="V83" s="32" t="str">
        <f t="shared" si="13"/>
        <v/>
      </c>
      <c r="W83" s="30"/>
    </row>
    <row r="84" spans="1:23">
      <c r="A84" s="33" t="str">
        <f>給与集計!B85</f>
        <v>00081</v>
      </c>
      <c r="B84" s="1" t="str">
        <f>給与集計!D85</f>
        <v>サンプル　太郎81</v>
      </c>
      <c r="C84" s="32">
        <f ca="1">給与集計!S85</f>
        <v>0</v>
      </c>
      <c r="D84" s="37"/>
      <c r="E84" s="37">
        <f t="shared" ca="1" si="7"/>
        <v>0</v>
      </c>
      <c r="F84" s="32" t="str">
        <f t="shared" ca="1" si="8"/>
        <v/>
      </c>
      <c r="G84" s="28"/>
      <c r="K84" s="33" t="str">
        <f>給与集計!B85</f>
        <v>00081</v>
      </c>
      <c r="L84" s="1" t="str">
        <f>給与集計!D85</f>
        <v>サンプル　太郎81</v>
      </c>
      <c r="M84" s="32"/>
      <c r="N84" s="37"/>
      <c r="O84" s="37">
        <f t="shared" si="9"/>
        <v>0</v>
      </c>
      <c r="P84" s="32"/>
      <c r="Q84" s="37"/>
      <c r="R84" s="37">
        <f t="shared" si="10"/>
        <v>0</v>
      </c>
      <c r="S84" s="37">
        <f t="shared" si="11"/>
        <v>0</v>
      </c>
      <c r="T84" s="74"/>
      <c r="U84" s="37">
        <f t="shared" si="12"/>
        <v>0</v>
      </c>
      <c r="V84" s="32" t="str">
        <f t="shared" si="13"/>
        <v/>
      </c>
      <c r="W84" s="30"/>
    </row>
    <row r="85" spans="1:23">
      <c r="A85" s="33" t="str">
        <f>給与集計!B86</f>
        <v>00082</v>
      </c>
      <c r="B85" s="1" t="str">
        <f>給与集計!D86</f>
        <v>サンプル　太郎82</v>
      </c>
      <c r="C85" s="32">
        <f ca="1">給与集計!S86</f>
        <v>0</v>
      </c>
      <c r="D85" s="37"/>
      <c r="E85" s="37">
        <f t="shared" ca="1" si="7"/>
        <v>0</v>
      </c>
      <c r="F85" s="32" t="str">
        <f t="shared" ca="1" si="8"/>
        <v/>
      </c>
      <c r="G85" s="28"/>
      <c r="K85" s="33" t="str">
        <f>給与集計!B86</f>
        <v>00082</v>
      </c>
      <c r="L85" s="1" t="str">
        <f>給与集計!D86</f>
        <v>サンプル　太郎82</v>
      </c>
      <c r="M85" s="32"/>
      <c r="N85" s="37"/>
      <c r="O85" s="37">
        <f t="shared" si="9"/>
        <v>0</v>
      </c>
      <c r="P85" s="32"/>
      <c r="Q85" s="37"/>
      <c r="R85" s="37">
        <f t="shared" si="10"/>
        <v>0</v>
      </c>
      <c r="S85" s="37">
        <f t="shared" si="11"/>
        <v>0</v>
      </c>
      <c r="T85" s="74"/>
      <c r="U85" s="37">
        <f t="shared" si="12"/>
        <v>0</v>
      </c>
      <c r="V85" s="32" t="str">
        <f t="shared" si="13"/>
        <v/>
      </c>
      <c r="W85" s="30"/>
    </row>
    <row r="86" spans="1:23">
      <c r="A86" s="33" t="str">
        <f>給与集計!B87</f>
        <v>00083</v>
      </c>
      <c r="B86" s="1" t="str">
        <f>給与集計!D87</f>
        <v>サンプル　太郎83</v>
      </c>
      <c r="C86" s="32">
        <f ca="1">給与集計!S87</f>
        <v>0</v>
      </c>
      <c r="D86" s="37"/>
      <c r="E86" s="37">
        <f t="shared" ca="1" si="7"/>
        <v>0</v>
      </c>
      <c r="F86" s="32" t="str">
        <f t="shared" ca="1" si="8"/>
        <v/>
      </c>
      <c r="G86" s="28"/>
      <c r="K86" s="33" t="str">
        <f>給与集計!B87</f>
        <v>00083</v>
      </c>
      <c r="L86" s="1" t="str">
        <f>給与集計!D87</f>
        <v>サンプル　太郎83</v>
      </c>
      <c r="M86" s="32"/>
      <c r="N86" s="37"/>
      <c r="O86" s="37">
        <f t="shared" si="9"/>
        <v>0</v>
      </c>
      <c r="P86" s="32"/>
      <c r="Q86" s="37"/>
      <c r="R86" s="37">
        <f t="shared" si="10"/>
        <v>0</v>
      </c>
      <c r="S86" s="37">
        <f t="shared" si="11"/>
        <v>0</v>
      </c>
      <c r="T86" s="74"/>
      <c r="U86" s="37">
        <f t="shared" si="12"/>
        <v>0</v>
      </c>
      <c r="V86" s="32" t="str">
        <f t="shared" si="13"/>
        <v/>
      </c>
      <c r="W86" s="30"/>
    </row>
    <row r="87" spans="1:23">
      <c r="A87" s="33" t="str">
        <f>給与集計!B88</f>
        <v>00084</v>
      </c>
      <c r="B87" s="1" t="str">
        <f>給与集計!D88</f>
        <v>サンプル　太郎84</v>
      </c>
      <c r="C87" s="32">
        <f ca="1">給与集計!S88</f>
        <v>0</v>
      </c>
      <c r="D87" s="37"/>
      <c r="E87" s="37">
        <f t="shared" ca="1" si="7"/>
        <v>0</v>
      </c>
      <c r="F87" s="32" t="str">
        <f t="shared" ca="1" si="8"/>
        <v/>
      </c>
      <c r="G87" s="28"/>
      <c r="K87" s="33" t="str">
        <f>給与集計!B88</f>
        <v>00084</v>
      </c>
      <c r="L87" s="1" t="str">
        <f>給与集計!D88</f>
        <v>サンプル　太郎84</v>
      </c>
      <c r="M87" s="32"/>
      <c r="N87" s="37"/>
      <c r="O87" s="37">
        <f t="shared" si="9"/>
        <v>0</v>
      </c>
      <c r="P87" s="32"/>
      <c r="Q87" s="37"/>
      <c r="R87" s="37">
        <f t="shared" si="10"/>
        <v>0</v>
      </c>
      <c r="S87" s="37">
        <f t="shared" si="11"/>
        <v>0</v>
      </c>
      <c r="T87" s="74"/>
      <c r="U87" s="37">
        <f t="shared" si="12"/>
        <v>0</v>
      </c>
      <c r="V87" s="32" t="str">
        <f t="shared" si="13"/>
        <v/>
      </c>
      <c r="W87" s="30"/>
    </row>
    <row r="88" spans="1:23">
      <c r="A88" s="33" t="str">
        <f>給与集計!B89</f>
        <v>00085</v>
      </c>
      <c r="B88" s="1" t="str">
        <f>給与集計!D89</f>
        <v>サンプル　太郎85</v>
      </c>
      <c r="C88" s="32">
        <f ca="1">給与集計!S89</f>
        <v>0</v>
      </c>
      <c r="D88" s="37"/>
      <c r="E88" s="37">
        <f t="shared" ca="1" si="7"/>
        <v>0</v>
      </c>
      <c r="F88" s="32" t="str">
        <f t="shared" ca="1" si="8"/>
        <v/>
      </c>
      <c r="G88" s="28"/>
      <c r="K88" s="33" t="str">
        <f>給与集計!B89</f>
        <v>00085</v>
      </c>
      <c r="L88" s="1" t="str">
        <f>給与集計!D89</f>
        <v>サンプル　太郎85</v>
      </c>
      <c r="M88" s="32"/>
      <c r="N88" s="37"/>
      <c r="O88" s="37">
        <f t="shared" si="9"/>
        <v>0</v>
      </c>
      <c r="P88" s="32"/>
      <c r="Q88" s="37"/>
      <c r="R88" s="37">
        <f t="shared" si="10"/>
        <v>0</v>
      </c>
      <c r="S88" s="37">
        <f t="shared" si="11"/>
        <v>0</v>
      </c>
      <c r="T88" s="74"/>
      <c r="U88" s="37">
        <f t="shared" si="12"/>
        <v>0</v>
      </c>
      <c r="V88" s="32" t="str">
        <f t="shared" si="13"/>
        <v/>
      </c>
      <c r="W88" s="30"/>
    </row>
    <row r="89" spans="1:23">
      <c r="A89" s="33" t="str">
        <f>給与集計!B90</f>
        <v>00086</v>
      </c>
      <c r="B89" s="1" t="str">
        <f>給与集計!D90</f>
        <v>サンプル　太郎86</v>
      </c>
      <c r="C89" s="32">
        <f ca="1">給与集計!S90</f>
        <v>0</v>
      </c>
      <c r="D89" s="37"/>
      <c r="E89" s="37">
        <f t="shared" ca="1" si="7"/>
        <v>0</v>
      </c>
      <c r="F89" s="32" t="str">
        <f t="shared" ca="1" si="8"/>
        <v/>
      </c>
      <c r="G89" s="28"/>
      <c r="K89" s="33" t="str">
        <f>給与集計!B90</f>
        <v>00086</v>
      </c>
      <c r="L89" s="1" t="str">
        <f>給与集計!D90</f>
        <v>サンプル　太郎86</v>
      </c>
      <c r="M89" s="32"/>
      <c r="N89" s="37"/>
      <c r="O89" s="37">
        <f t="shared" si="9"/>
        <v>0</v>
      </c>
      <c r="P89" s="32"/>
      <c r="Q89" s="37"/>
      <c r="R89" s="37">
        <f t="shared" si="10"/>
        <v>0</v>
      </c>
      <c r="S89" s="37">
        <f t="shared" si="11"/>
        <v>0</v>
      </c>
      <c r="T89" s="74"/>
      <c r="U89" s="37">
        <f t="shared" si="12"/>
        <v>0</v>
      </c>
      <c r="V89" s="32" t="str">
        <f t="shared" si="13"/>
        <v/>
      </c>
      <c r="W89" s="30"/>
    </row>
  </sheetData>
  <mergeCells count="16">
    <mergeCell ref="A1:G1"/>
    <mergeCell ref="A2:A3"/>
    <mergeCell ref="B2:B3"/>
    <mergeCell ref="C2:C3"/>
    <mergeCell ref="D2:D3"/>
    <mergeCell ref="E2:E3"/>
    <mergeCell ref="F2:F3"/>
    <mergeCell ref="G2:G3"/>
    <mergeCell ref="W2:W3"/>
    <mergeCell ref="K1:W1"/>
    <mergeCell ref="K2:K3"/>
    <mergeCell ref="L2:L3"/>
    <mergeCell ref="M2:O2"/>
    <mergeCell ref="P2:R2"/>
    <mergeCell ref="S2:U2"/>
    <mergeCell ref="V2:V3"/>
  </mergeCells>
  <phoneticPr fontId="1"/>
  <pageMargins left="0.70866141732283472" right="0.70866141732283472" top="0.74803149606299213" bottom="0.74803149606299213" header="0.31496062992125984" footer="0.31496062992125984"/>
  <pageSetup paperSize="9" scale="86" fitToHeight="0" orientation="landscape" blackAndWhite="1" r:id="rId1"/>
  <headerFoot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全勤務日設定">
                <anchor moveWithCells="1" sizeWithCells="1">
                  <from>
                    <xdr:col>6</xdr:col>
                    <xdr:colOff>1935480</xdr:colOff>
                    <xdr:row>0</xdr:row>
                    <xdr:rowOff>297180</xdr:rowOff>
                  </from>
                  <to>
                    <xdr:col>6</xdr:col>
                    <xdr:colOff>2804160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特別日勤務設定">
                <anchor moveWithCells="1" sizeWithCells="1">
                  <from>
                    <xdr:col>8</xdr:col>
                    <xdr:colOff>45720</xdr:colOff>
                    <xdr:row>0</xdr:row>
                    <xdr:rowOff>38100</xdr:rowOff>
                  </from>
                  <to>
                    <xdr:col>8</xdr:col>
                    <xdr:colOff>937260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</vt:i4>
      </vt:variant>
    </vt:vector>
  </HeadingPairs>
  <TitlesOfParts>
    <vt:vector size="14" baseType="lpstr">
      <vt:lpstr>個別シフト表</vt:lpstr>
      <vt:lpstr>管理台帳</vt:lpstr>
      <vt:lpstr>給与集計</vt:lpstr>
      <vt:lpstr>謝礼集計</vt:lpstr>
      <vt:lpstr>謝礼集計!Print_Area</vt:lpstr>
      <vt:lpstr>謝礼集計!Print_Titles</vt:lpstr>
      <vt:lpstr>氏名</vt:lpstr>
      <vt:lpstr>台帳_A深夜範囲</vt:lpstr>
      <vt:lpstr>台帳_A通常範囲</vt:lpstr>
      <vt:lpstr>台帳_B通常範囲</vt:lpstr>
      <vt:lpstr>台帳_氏名範囲</vt:lpstr>
      <vt:lpstr>台帳_集計月</vt:lpstr>
      <vt:lpstr>台帳_例月範囲</vt:lpstr>
      <vt:lpstr>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cp:lastPrinted>2023-11-10T08:38:42Z</cp:lastPrinted>
  <dcterms:created xsi:type="dcterms:W3CDTF">2023-10-26T08:53:04Z</dcterms:created>
  <dcterms:modified xsi:type="dcterms:W3CDTF">2023-11-11T12:25:27Z</dcterms:modified>
</cp:coreProperties>
</file>