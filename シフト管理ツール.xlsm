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ay\Desktop\git作業\bin\"/>
    </mc:Choice>
  </mc:AlternateContent>
  <xr:revisionPtr revIDLastSave="0" documentId="13_ncr:1_{E37D788F-4FBB-4E93-B92F-157196CCDFF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個別シフト表" sheetId="2" r:id="rId1"/>
    <sheet name="管理台帳" sheetId="1" r:id="rId2"/>
    <sheet name="給与集計" sheetId="3" r:id="rId3"/>
    <sheet name="謝礼集計" sheetId="4" r:id="rId4"/>
  </sheets>
  <functionGroups builtInGroupCount="19"/>
  <definedNames>
    <definedName name="_xlnm._FilterDatabase" localSheetId="1" hidden="1">管理台帳!$A$1:$M$119</definedName>
    <definedName name="_xlnm._FilterDatabase" localSheetId="2" hidden="1">給与集計!$A$4:$AE$91</definedName>
    <definedName name="_xlnm._FilterDatabase" localSheetId="3" hidden="1">謝礼集計!$K$1:$W$89</definedName>
    <definedName name="_xlnm.Print_Area" localSheetId="3">謝礼集計!$A$1:$G$90,謝礼集計!$K$1:$W$90</definedName>
    <definedName name="_xlnm.Print_Titles" localSheetId="3">謝礼集計!$2:$3</definedName>
    <definedName name="氏名">個別シフト表!$B$2</definedName>
    <definedName name="台帳_A深夜範囲">給与集計!$AI$11</definedName>
    <definedName name="台帳_A通常範囲">給与集計!$AI$10</definedName>
    <definedName name="台帳_B通常範囲">給与集計!$AI$12</definedName>
    <definedName name="台帳_氏名範囲">給与集計!$AI$8</definedName>
    <definedName name="台帳_集計月">給与集計!$B$1</definedName>
    <definedName name="台帳_有給">給与集計!$AI$13</definedName>
    <definedName name="台帳_例月範囲">給与集計!$AI$9</definedName>
    <definedName name="昼標準シフト">個別シフト表!$O$3:$Q$3</definedName>
    <definedName name="夜標準シフト">個別シフト表!$O$2:$Q$2</definedName>
    <definedName name="例月区分">個別シフト表!$A$2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4" l="1"/>
  <c r="A1" i="4"/>
  <c r="J3" i="1"/>
  <c r="K3" i="1"/>
  <c r="L3" i="1"/>
  <c r="M3" i="1"/>
  <c r="J4" i="1"/>
  <c r="K4" i="1"/>
  <c r="L4" i="1"/>
  <c r="M4" i="1"/>
  <c r="J5" i="1"/>
  <c r="K5" i="1"/>
  <c r="L5" i="1"/>
  <c r="M5" i="1"/>
  <c r="J6" i="1"/>
  <c r="K6" i="1"/>
  <c r="L6" i="1"/>
  <c r="M6" i="1"/>
  <c r="J7" i="1"/>
  <c r="K7" i="1"/>
  <c r="L7" i="1"/>
  <c r="M7" i="1"/>
  <c r="J8" i="1"/>
  <c r="K8" i="1"/>
  <c r="L8" i="1"/>
  <c r="M8" i="1"/>
  <c r="J9" i="1"/>
  <c r="K9" i="1"/>
  <c r="L9" i="1"/>
  <c r="M9" i="1"/>
  <c r="J10" i="1"/>
  <c r="K10" i="1"/>
  <c r="L10" i="1"/>
  <c r="M10" i="1"/>
  <c r="J11" i="1"/>
  <c r="K11" i="1"/>
  <c r="L11" i="1"/>
  <c r="M11" i="1"/>
  <c r="J12" i="1"/>
  <c r="K12" i="1"/>
  <c r="L12" i="1"/>
  <c r="M12" i="1"/>
  <c r="J13" i="1"/>
  <c r="K13" i="1"/>
  <c r="L13" i="1"/>
  <c r="M13" i="1"/>
  <c r="J14" i="1"/>
  <c r="K14" i="1"/>
  <c r="L14" i="1"/>
  <c r="M14" i="1"/>
  <c r="J15" i="1"/>
  <c r="K15" i="1"/>
  <c r="L15" i="1"/>
  <c r="M15" i="1"/>
  <c r="J16" i="1"/>
  <c r="K16" i="1"/>
  <c r="L16" i="1"/>
  <c r="M16" i="1"/>
  <c r="J17" i="1"/>
  <c r="K17" i="1"/>
  <c r="L17" i="1"/>
  <c r="M17" i="1"/>
  <c r="J18" i="1"/>
  <c r="K18" i="1"/>
  <c r="L18" i="1"/>
  <c r="M18" i="1"/>
  <c r="J19" i="1"/>
  <c r="K19" i="1"/>
  <c r="L19" i="1"/>
  <c r="M19" i="1"/>
  <c r="J20" i="1"/>
  <c r="K20" i="1"/>
  <c r="L20" i="1"/>
  <c r="M20" i="1"/>
  <c r="J21" i="1"/>
  <c r="K21" i="1"/>
  <c r="L21" i="1"/>
  <c r="M21" i="1"/>
  <c r="J22" i="1"/>
  <c r="K22" i="1"/>
  <c r="L22" i="1"/>
  <c r="M22" i="1"/>
  <c r="J23" i="1"/>
  <c r="K23" i="1"/>
  <c r="L23" i="1"/>
  <c r="M23" i="1"/>
  <c r="J24" i="1"/>
  <c r="K24" i="1"/>
  <c r="L24" i="1"/>
  <c r="M24" i="1"/>
  <c r="J25" i="1"/>
  <c r="K25" i="1"/>
  <c r="L25" i="1"/>
  <c r="M25" i="1"/>
  <c r="J26" i="1"/>
  <c r="K26" i="1"/>
  <c r="L26" i="1"/>
  <c r="M26" i="1"/>
  <c r="J27" i="1"/>
  <c r="K27" i="1"/>
  <c r="L27" i="1"/>
  <c r="M27" i="1"/>
  <c r="J28" i="1"/>
  <c r="K28" i="1"/>
  <c r="L28" i="1"/>
  <c r="M28" i="1"/>
  <c r="J29" i="1"/>
  <c r="K29" i="1"/>
  <c r="L29" i="1"/>
  <c r="M29" i="1"/>
  <c r="J30" i="1"/>
  <c r="K30" i="1"/>
  <c r="L30" i="1"/>
  <c r="M30" i="1"/>
  <c r="J31" i="1"/>
  <c r="K31" i="1"/>
  <c r="L31" i="1"/>
  <c r="M31" i="1"/>
  <c r="J32" i="1"/>
  <c r="K32" i="1"/>
  <c r="L32" i="1"/>
  <c r="M32" i="1"/>
  <c r="J33" i="1"/>
  <c r="K33" i="1"/>
  <c r="L33" i="1"/>
  <c r="M33" i="1"/>
  <c r="J34" i="1"/>
  <c r="K34" i="1"/>
  <c r="L34" i="1"/>
  <c r="M34" i="1"/>
  <c r="J35" i="1"/>
  <c r="K35" i="1"/>
  <c r="L35" i="1"/>
  <c r="M35" i="1"/>
  <c r="J36" i="1"/>
  <c r="K36" i="1"/>
  <c r="L36" i="1"/>
  <c r="M36" i="1"/>
  <c r="J37" i="1"/>
  <c r="K37" i="1"/>
  <c r="L37" i="1"/>
  <c r="M37" i="1"/>
  <c r="J38" i="1"/>
  <c r="K38" i="1"/>
  <c r="L38" i="1"/>
  <c r="M38" i="1"/>
  <c r="J39" i="1"/>
  <c r="K39" i="1"/>
  <c r="L39" i="1"/>
  <c r="M39" i="1"/>
  <c r="J40" i="1"/>
  <c r="K40" i="1"/>
  <c r="L40" i="1"/>
  <c r="M40" i="1"/>
  <c r="J41" i="1"/>
  <c r="K41" i="1"/>
  <c r="L41" i="1"/>
  <c r="M41" i="1"/>
  <c r="J42" i="1"/>
  <c r="K42" i="1"/>
  <c r="L42" i="1"/>
  <c r="M42" i="1"/>
  <c r="J43" i="1"/>
  <c r="K43" i="1"/>
  <c r="L43" i="1"/>
  <c r="M43" i="1"/>
  <c r="J44" i="1"/>
  <c r="K44" i="1"/>
  <c r="L44" i="1"/>
  <c r="M44" i="1"/>
  <c r="J45" i="1"/>
  <c r="K45" i="1"/>
  <c r="L45" i="1"/>
  <c r="M45" i="1"/>
  <c r="J46" i="1"/>
  <c r="K46" i="1"/>
  <c r="L46" i="1"/>
  <c r="M46" i="1"/>
  <c r="J47" i="1"/>
  <c r="K47" i="1"/>
  <c r="L47" i="1"/>
  <c r="M47" i="1"/>
  <c r="J48" i="1"/>
  <c r="K48" i="1"/>
  <c r="L48" i="1"/>
  <c r="M48" i="1"/>
  <c r="J49" i="1"/>
  <c r="K49" i="1"/>
  <c r="L49" i="1"/>
  <c r="M49" i="1"/>
  <c r="J50" i="1"/>
  <c r="K50" i="1"/>
  <c r="L50" i="1"/>
  <c r="M50" i="1"/>
  <c r="J51" i="1"/>
  <c r="K51" i="1"/>
  <c r="L51" i="1"/>
  <c r="M51" i="1"/>
  <c r="J52" i="1"/>
  <c r="K52" i="1"/>
  <c r="L52" i="1"/>
  <c r="M52" i="1"/>
  <c r="J53" i="1"/>
  <c r="K53" i="1"/>
  <c r="L53" i="1"/>
  <c r="M53" i="1"/>
  <c r="J54" i="1"/>
  <c r="K54" i="1"/>
  <c r="L54" i="1"/>
  <c r="M54" i="1"/>
  <c r="J55" i="1"/>
  <c r="K55" i="1"/>
  <c r="L55" i="1"/>
  <c r="M55" i="1"/>
  <c r="J56" i="1"/>
  <c r="K56" i="1"/>
  <c r="L56" i="1"/>
  <c r="M56" i="1"/>
  <c r="J57" i="1"/>
  <c r="K57" i="1"/>
  <c r="L57" i="1"/>
  <c r="M57" i="1"/>
  <c r="J58" i="1"/>
  <c r="K58" i="1"/>
  <c r="L58" i="1"/>
  <c r="M58" i="1"/>
  <c r="J59" i="1"/>
  <c r="K59" i="1"/>
  <c r="L59" i="1"/>
  <c r="M59" i="1"/>
  <c r="J60" i="1"/>
  <c r="K60" i="1"/>
  <c r="L60" i="1"/>
  <c r="M60" i="1"/>
  <c r="J61" i="1"/>
  <c r="K61" i="1"/>
  <c r="L61" i="1"/>
  <c r="M61" i="1"/>
  <c r="J62" i="1"/>
  <c r="K62" i="1"/>
  <c r="L62" i="1"/>
  <c r="M62" i="1"/>
  <c r="J63" i="1"/>
  <c r="K63" i="1"/>
  <c r="L63" i="1"/>
  <c r="M63" i="1"/>
  <c r="J64" i="1"/>
  <c r="K64" i="1"/>
  <c r="L64" i="1"/>
  <c r="M64" i="1"/>
  <c r="J65" i="1"/>
  <c r="K65" i="1"/>
  <c r="L65" i="1"/>
  <c r="M65" i="1"/>
  <c r="J66" i="1"/>
  <c r="K66" i="1"/>
  <c r="L66" i="1"/>
  <c r="M66" i="1"/>
  <c r="J67" i="1"/>
  <c r="K67" i="1"/>
  <c r="L67" i="1"/>
  <c r="M67" i="1"/>
  <c r="J68" i="1"/>
  <c r="K68" i="1"/>
  <c r="L68" i="1"/>
  <c r="M68" i="1"/>
  <c r="J69" i="1"/>
  <c r="K69" i="1"/>
  <c r="L69" i="1"/>
  <c r="M69" i="1"/>
  <c r="J70" i="1"/>
  <c r="K70" i="1"/>
  <c r="L70" i="1"/>
  <c r="M70" i="1"/>
  <c r="J71" i="1"/>
  <c r="K71" i="1"/>
  <c r="L71" i="1"/>
  <c r="M71" i="1"/>
  <c r="J72" i="1"/>
  <c r="K72" i="1"/>
  <c r="L72" i="1"/>
  <c r="M72" i="1"/>
  <c r="J73" i="1"/>
  <c r="K73" i="1"/>
  <c r="L73" i="1"/>
  <c r="M73" i="1"/>
  <c r="J74" i="1"/>
  <c r="K74" i="1"/>
  <c r="L74" i="1"/>
  <c r="M74" i="1"/>
  <c r="J75" i="1"/>
  <c r="K75" i="1"/>
  <c r="L75" i="1"/>
  <c r="M75" i="1"/>
  <c r="J76" i="1"/>
  <c r="K76" i="1"/>
  <c r="L76" i="1"/>
  <c r="M76" i="1"/>
  <c r="J77" i="1"/>
  <c r="K77" i="1"/>
  <c r="L77" i="1"/>
  <c r="M77" i="1"/>
  <c r="J78" i="1"/>
  <c r="K78" i="1"/>
  <c r="L78" i="1"/>
  <c r="M78" i="1"/>
  <c r="J79" i="1"/>
  <c r="K79" i="1"/>
  <c r="L79" i="1"/>
  <c r="M79" i="1"/>
  <c r="J80" i="1"/>
  <c r="K80" i="1"/>
  <c r="L80" i="1"/>
  <c r="M80" i="1"/>
  <c r="J81" i="1"/>
  <c r="K81" i="1"/>
  <c r="L81" i="1"/>
  <c r="M81" i="1"/>
  <c r="J82" i="1"/>
  <c r="K82" i="1"/>
  <c r="L82" i="1"/>
  <c r="M82" i="1"/>
  <c r="J83" i="1"/>
  <c r="K83" i="1"/>
  <c r="L83" i="1"/>
  <c r="M83" i="1"/>
  <c r="J84" i="1"/>
  <c r="K84" i="1"/>
  <c r="L84" i="1"/>
  <c r="M84" i="1"/>
  <c r="J85" i="1"/>
  <c r="K85" i="1"/>
  <c r="L85" i="1"/>
  <c r="M85" i="1"/>
  <c r="J86" i="1"/>
  <c r="K86" i="1"/>
  <c r="L86" i="1"/>
  <c r="M86" i="1"/>
  <c r="J87" i="1"/>
  <c r="K87" i="1"/>
  <c r="L87" i="1"/>
  <c r="M87" i="1"/>
  <c r="J88" i="1"/>
  <c r="K88" i="1"/>
  <c r="L88" i="1"/>
  <c r="M88" i="1"/>
  <c r="J89" i="1"/>
  <c r="K89" i="1"/>
  <c r="L89" i="1"/>
  <c r="M89" i="1"/>
  <c r="J90" i="1"/>
  <c r="K90" i="1"/>
  <c r="L90" i="1"/>
  <c r="M90" i="1"/>
  <c r="J91" i="1"/>
  <c r="K91" i="1"/>
  <c r="L91" i="1"/>
  <c r="M91" i="1"/>
  <c r="J92" i="1"/>
  <c r="K92" i="1"/>
  <c r="L92" i="1"/>
  <c r="M92" i="1"/>
  <c r="J93" i="1"/>
  <c r="K93" i="1"/>
  <c r="L93" i="1"/>
  <c r="M93" i="1"/>
  <c r="J94" i="1"/>
  <c r="K94" i="1"/>
  <c r="L94" i="1"/>
  <c r="M94" i="1"/>
  <c r="J95" i="1"/>
  <c r="K95" i="1"/>
  <c r="L95" i="1"/>
  <c r="M95" i="1"/>
  <c r="J96" i="1"/>
  <c r="K96" i="1"/>
  <c r="L96" i="1"/>
  <c r="M96" i="1"/>
  <c r="J97" i="1"/>
  <c r="K97" i="1"/>
  <c r="L97" i="1"/>
  <c r="M97" i="1"/>
  <c r="J98" i="1"/>
  <c r="K98" i="1"/>
  <c r="L98" i="1"/>
  <c r="M98" i="1"/>
  <c r="J99" i="1"/>
  <c r="K99" i="1"/>
  <c r="L99" i="1"/>
  <c r="M99" i="1"/>
  <c r="J100" i="1"/>
  <c r="K100" i="1"/>
  <c r="L100" i="1"/>
  <c r="M100" i="1"/>
  <c r="J101" i="1"/>
  <c r="K101" i="1"/>
  <c r="L101" i="1"/>
  <c r="M101" i="1"/>
  <c r="J102" i="1"/>
  <c r="K102" i="1"/>
  <c r="L102" i="1"/>
  <c r="M102" i="1"/>
  <c r="J103" i="1"/>
  <c r="K103" i="1"/>
  <c r="L103" i="1"/>
  <c r="M103" i="1"/>
  <c r="J104" i="1"/>
  <c r="K104" i="1"/>
  <c r="L104" i="1"/>
  <c r="M104" i="1"/>
  <c r="J105" i="1"/>
  <c r="K105" i="1"/>
  <c r="L105" i="1"/>
  <c r="M105" i="1"/>
  <c r="J106" i="1"/>
  <c r="K106" i="1"/>
  <c r="L106" i="1"/>
  <c r="M106" i="1"/>
  <c r="J107" i="1"/>
  <c r="K107" i="1"/>
  <c r="L107" i="1"/>
  <c r="M107" i="1"/>
  <c r="J108" i="1"/>
  <c r="K108" i="1"/>
  <c r="L108" i="1"/>
  <c r="M108" i="1"/>
  <c r="J109" i="1"/>
  <c r="K109" i="1"/>
  <c r="L109" i="1"/>
  <c r="M109" i="1"/>
  <c r="J110" i="1"/>
  <c r="K110" i="1"/>
  <c r="L110" i="1"/>
  <c r="M110" i="1"/>
  <c r="J111" i="1"/>
  <c r="K111" i="1"/>
  <c r="L111" i="1"/>
  <c r="M111" i="1"/>
  <c r="J112" i="1"/>
  <c r="K112" i="1"/>
  <c r="L112" i="1"/>
  <c r="M112" i="1"/>
  <c r="J113" i="1"/>
  <c r="K113" i="1"/>
  <c r="L113" i="1"/>
  <c r="M113" i="1"/>
  <c r="J114" i="1"/>
  <c r="K114" i="1"/>
  <c r="L114" i="1"/>
  <c r="M114" i="1"/>
  <c r="J115" i="1"/>
  <c r="K115" i="1"/>
  <c r="L115" i="1"/>
  <c r="M115" i="1"/>
  <c r="J116" i="1"/>
  <c r="K116" i="1"/>
  <c r="L116" i="1"/>
  <c r="M116" i="1"/>
  <c r="J117" i="1"/>
  <c r="K117" i="1"/>
  <c r="L117" i="1"/>
  <c r="M117" i="1"/>
  <c r="J118" i="1"/>
  <c r="K118" i="1"/>
  <c r="L118" i="1"/>
  <c r="M118" i="1"/>
  <c r="J119" i="1"/>
  <c r="K119" i="1"/>
  <c r="L119" i="1"/>
  <c r="M119" i="1"/>
  <c r="M2" i="1"/>
  <c r="L2" i="1"/>
  <c r="K2" i="1"/>
  <c r="J2" i="1"/>
  <c r="P3" i="2" l="1"/>
  <c r="O3" i="2"/>
  <c r="P2" i="2"/>
  <c r="O2" i="2"/>
  <c r="T90" i="4"/>
  <c r="P90" i="4"/>
  <c r="M90" i="4"/>
  <c r="K38" i="2"/>
  <c r="AH13" i="3" l="1"/>
  <c r="R5" i="4" l="1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4" i="4"/>
  <c r="K5" i="4"/>
  <c r="L5" i="4"/>
  <c r="K6" i="4"/>
  <c r="L6" i="4"/>
  <c r="K7" i="4"/>
  <c r="L7" i="4"/>
  <c r="K8" i="4"/>
  <c r="L8" i="4"/>
  <c r="K9" i="4"/>
  <c r="L9" i="4"/>
  <c r="K10" i="4"/>
  <c r="L10" i="4"/>
  <c r="K11" i="4"/>
  <c r="L11" i="4"/>
  <c r="K12" i="4"/>
  <c r="L12" i="4"/>
  <c r="K13" i="4"/>
  <c r="L13" i="4"/>
  <c r="K14" i="4"/>
  <c r="L14" i="4"/>
  <c r="K15" i="4"/>
  <c r="L15" i="4"/>
  <c r="K16" i="4"/>
  <c r="L16" i="4"/>
  <c r="K17" i="4"/>
  <c r="L17" i="4"/>
  <c r="K18" i="4"/>
  <c r="L18" i="4"/>
  <c r="K19" i="4"/>
  <c r="L19" i="4"/>
  <c r="K20" i="4"/>
  <c r="L20" i="4"/>
  <c r="K21" i="4"/>
  <c r="L21" i="4"/>
  <c r="K22" i="4"/>
  <c r="L22" i="4"/>
  <c r="K23" i="4"/>
  <c r="L23" i="4"/>
  <c r="K24" i="4"/>
  <c r="L24" i="4"/>
  <c r="K25" i="4"/>
  <c r="L25" i="4"/>
  <c r="K26" i="4"/>
  <c r="L26" i="4"/>
  <c r="K27" i="4"/>
  <c r="L27" i="4"/>
  <c r="K28" i="4"/>
  <c r="L28" i="4"/>
  <c r="K29" i="4"/>
  <c r="L29" i="4"/>
  <c r="K30" i="4"/>
  <c r="L30" i="4"/>
  <c r="K31" i="4"/>
  <c r="L31" i="4"/>
  <c r="K32" i="4"/>
  <c r="L32" i="4"/>
  <c r="K33" i="4"/>
  <c r="L33" i="4"/>
  <c r="K34" i="4"/>
  <c r="L34" i="4"/>
  <c r="K35" i="4"/>
  <c r="L35" i="4"/>
  <c r="K36" i="4"/>
  <c r="L36" i="4"/>
  <c r="K37" i="4"/>
  <c r="L37" i="4"/>
  <c r="K38" i="4"/>
  <c r="L38" i="4"/>
  <c r="K39" i="4"/>
  <c r="L39" i="4"/>
  <c r="K40" i="4"/>
  <c r="L40" i="4"/>
  <c r="K41" i="4"/>
  <c r="L41" i="4"/>
  <c r="K42" i="4"/>
  <c r="L42" i="4"/>
  <c r="K43" i="4"/>
  <c r="L43" i="4"/>
  <c r="K44" i="4"/>
  <c r="L44" i="4"/>
  <c r="K45" i="4"/>
  <c r="L45" i="4"/>
  <c r="K46" i="4"/>
  <c r="L46" i="4"/>
  <c r="K47" i="4"/>
  <c r="L47" i="4"/>
  <c r="K48" i="4"/>
  <c r="L48" i="4"/>
  <c r="K49" i="4"/>
  <c r="L49" i="4"/>
  <c r="K50" i="4"/>
  <c r="L50" i="4"/>
  <c r="K51" i="4"/>
  <c r="L51" i="4"/>
  <c r="K52" i="4"/>
  <c r="L52" i="4"/>
  <c r="K53" i="4"/>
  <c r="L53" i="4"/>
  <c r="K54" i="4"/>
  <c r="L54" i="4"/>
  <c r="K55" i="4"/>
  <c r="L55" i="4"/>
  <c r="K56" i="4"/>
  <c r="L56" i="4"/>
  <c r="K57" i="4"/>
  <c r="L57" i="4"/>
  <c r="K58" i="4"/>
  <c r="L58" i="4"/>
  <c r="K59" i="4"/>
  <c r="L59" i="4"/>
  <c r="K60" i="4"/>
  <c r="L60" i="4"/>
  <c r="K61" i="4"/>
  <c r="L61" i="4"/>
  <c r="K62" i="4"/>
  <c r="L62" i="4"/>
  <c r="K63" i="4"/>
  <c r="L63" i="4"/>
  <c r="K64" i="4"/>
  <c r="L64" i="4"/>
  <c r="K65" i="4"/>
  <c r="L65" i="4"/>
  <c r="K66" i="4"/>
  <c r="L66" i="4"/>
  <c r="K67" i="4"/>
  <c r="L67" i="4"/>
  <c r="K68" i="4"/>
  <c r="L68" i="4"/>
  <c r="K69" i="4"/>
  <c r="L69" i="4"/>
  <c r="K70" i="4"/>
  <c r="L70" i="4"/>
  <c r="K71" i="4"/>
  <c r="L71" i="4"/>
  <c r="K72" i="4"/>
  <c r="L72" i="4"/>
  <c r="K73" i="4"/>
  <c r="L73" i="4"/>
  <c r="K74" i="4"/>
  <c r="L74" i="4"/>
  <c r="K75" i="4"/>
  <c r="L75" i="4"/>
  <c r="K76" i="4"/>
  <c r="L76" i="4"/>
  <c r="K77" i="4"/>
  <c r="L77" i="4"/>
  <c r="K78" i="4"/>
  <c r="L78" i="4"/>
  <c r="K79" i="4"/>
  <c r="L79" i="4"/>
  <c r="K80" i="4"/>
  <c r="L80" i="4"/>
  <c r="K81" i="4"/>
  <c r="L81" i="4"/>
  <c r="K82" i="4"/>
  <c r="L82" i="4"/>
  <c r="K83" i="4"/>
  <c r="L83" i="4"/>
  <c r="K84" i="4"/>
  <c r="L84" i="4"/>
  <c r="K85" i="4"/>
  <c r="L85" i="4"/>
  <c r="K86" i="4"/>
  <c r="L86" i="4"/>
  <c r="K87" i="4"/>
  <c r="L87" i="4"/>
  <c r="K88" i="4"/>
  <c r="L88" i="4"/>
  <c r="K89" i="4"/>
  <c r="L89" i="4"/>
  <c r="L4" i="4"/>
  <c r="B4" i="4"/>
  <c r="K4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O90" i="4" l="1"/>
  <c r="R90" i="4"/>
  <c r="S88" i="4"/>
  <c r="U88" i="4" s="1"/>
  <c r="V88" i="4" s="1"/>
  <c r="S84" i="4"/>
  <c r="U84" i="4" s="1"/>
  <c r="V84" i="4" s="1"/>
  <c r="S80" i="4"/>
  <c r="U80" i="4" s="1"/>
  <c r="V80" i="4" s="1"/>
  <c r="S76" i="4"/>
  <c r="U76" i="4" s="1"/>
  <c r="V76" i="4" s="1"/>
  <c r="S72" i="4"/>
  <c r="U72" i="4" s="1"/>
  <c r="V72" i="4" s="1"/>
  <c r="S68" i="4"/>
  <c r="U68" i="4" s="1"/>
  <c r="V68" i="4" s="1"/>
  <c r="S64" i="4"/>
  <c r="U64" i="4" s="1"/>
  <c r="V64" i="4" s="1"/>
  <c r="S60" i="4"/>
  <c r="U60" i="4" s="1"/>
  <c r="V60" i="4" s="1"/>
  <c r="S56" i="4"/>
  <c r="U56" i="4" s="1"/>
  <c r="V56" i="4" s="1"/>
  <c r="S52" i="4"/>
  <c r="U52" i="4" s="1"/>
  <c r="V52" i="4" s="1"/>
  <c r="S48" i="4"/>
  <c r="U48" i="4" s="1"/>
  <c r="V48" i="4" s="1"/>
  <c r="S44" i="4"/>
  <c r="U44" i="4" s="1"/>
  <c r="V44" i="4" s="1"/>
  <c r="S40" i="4"/>
  <c r="U40" i="4" s="1"/>
  <c r="V40" i="4" s="1"/>
  <c r="S36" i="4"/>
  <c r="U36" i="4" s="1"/>
  <c r="V36" i="4" s="1"/>
  <c r="S32" i="4"/>
  <c r="U32" i="4" s="1"/>
  <c r="V32" i="4" s="1"/>
  <c r="S28" i="4"/>
  <c r="U28" i="4" s="1"/>
  <c r="V28" i="4" s="1"/>
  <c r="S24" i="4"/>
  <c r="U24" i="4" s="1"/>
  <c r="V24" i="4" s="1"/>
  <c r="S20" i="4"/>
  <c r="U20" i="4" s="1"/>
  <c r="V20" i="4" s="1"/>
  <c r="S16" i="4"/>
  <c r="U16" i="4" s="1"/>
  <c r="V16" i="4" s="1"/>
  <c r="S12" i="4"/>
  <c r="U12" i="4" s="1"/>
  <c r="V12" i="4" s="1"/>
  <c r="S8" i="4"/>
  <c r="U8" i="4" s="1"/>
  <c r="V8" i="4" s="1"/>
  <c r="S83" i="4"/>
  <c r="U83" i="4" s="1"/>
  <c r="V83" i="4" s="1"/>
  <c r="S79" i="4"/>
  <c r="U79" i="4" s="1"/>
  <c r="V79" i="4" s="1"/>
  <c r="S71" i="4"/>
  <c r="U71" i="4" s="1"/>
  <c r="V71" i="4" s="1"/>
  <c r="S67" i="4"/>
  <c r="U67" i="4" s="1"/>
  <c r="V67" i="4" s="1"/>
  <c r="S55" i="4"/>
  <c r="U55" i="4" s="1"/>
  <c r="V55" i="4" s="1"/>
  <c r="S51" i="4"/>
  <c r="U51" i="4" s="1"/>
  <c r="V51" i="4" s="1"/>
  <c r="S43" i="4"/>
  <c r="U43" i="4" s="1"/>
  <c r="V43" i="4" s="1"/>
  <c r="S35" i="4"/>
  <c r="U35" i="4" s="1"/>
  <c r="V35" i="4" s="1"/>
  <c r="S27" i="4"/>
  <c r="U27" i="4" s="1"/>
  <c r="V27" i="4" s="1"/>
  <c r="S19" i="4"/>
  <c r="U19" i="4" s="1"/>
  <c r="V19" i="4" s="1"/>
  <c r="S15" i="4"/>
  <c r="U15" i="4" s="1"/>
  <c r="V15" i="4" s="1"/>
  <c r="S7" i="4"/>
  <c r="U7" i="4" s="1"/>
  <c r="V7" i="4" s="1"/>
  <c r="S87" i="4"/>
  <c r="U87" i="4" s="1"/>
  <c r="V87" i="4" s="1"/>
  <c r="S75" i="4"/>
  <c r="U75" i="4" s="1"/>
  <c r="V75" i="4" s="1"/>
  <c r="S59" i="4"/>
  <c r="U59" i="4" s="1"/>
  <c r="V59" i="4" s="1"/>
  <c r="S47" i="4"/>
  <c r="U47" i="4" s="1"/>
  <c r="V47" i="4" s="1"/>
  <c r="S39" i="4"/>
  <c r="U39" i="4" s="1"/>
  <c r="V39" i="4" s="1"/>
  <c r="S31" i="4"/>
  <c r="U31" i="4" s="1"/>
  <c r="V31" i="4" s="1"/>
  <c r="S23" i="4"/>
  <c r="U23" i="4" s="1"/>
  <c r="V23" i="4" s="1"/>
  <c r="S11" i="4"/>
  <c r="U11" i="4" s="1"/>
  <c r="V11" i="4" s="1"/>
  <c r="S63" i="4"/>
  <c r="U63" i="4" s="1"/>
  <c r="V63" i="4" s="1"/>
  <c r="S86" i="4"/>
  <c r="U86" i="4" s="1"/>
  <c r="V86" i="4" s="1"/>
  <c r="S78" i="4"/>
  <c r="U78" i="4" s="1"/>
  <c r="V78" i="4" s="1"/>
  <c r="S74" i="4"/>
  <c r="U74" i="4" s="1"/>
  <c r="V74" i="4" s="1"/>
  <c r="S66" i="4"/>
  <c r="U66" i="4" s="1"/>
  <c r="V66" i="4" s="1"/>
  <c r="S58" i="4"/>
  <c r="U58" i="4" s="1"/>
  <c r="V58" i="4" s="1"/>
  <c r="S50" i="4"/>
  <c r="U50" i="4" s="1"/>
  <c r="V50" i="4" s="1"/>
  <c r="S46" i="4"/>
  <c r="U46" i="4" s="1"/>
  <c r="V46" i="4" s="1"/>
  <c r="S38" i="4"/>
  <c r="U38" i="4" s="1"/>
  <c r="V38" i="4" s="1"/>
  <c r="S14" i="4"/>
  <c r="U14" i="4" s="1"/>
  <c r="V14" i="4" s="1"/>
  <c r="S89" i="4"/>
  <c r="U89" i="4" s="1"/>
  <c r="V89" i="4" s="1"/>
  <c r="S85" i="4"/>
  <c r="U85" i="4" s="1"/>
  <c r="V85" i="4" s="1"/>
  <c r="S81" i="4"/>
  <c r="U81" i="4" s="1"/>
  <c r="V81" i="4" s="1"/>
  <c r="S77" i="4"/>
  <c r="U77" i="4" s="1"/>
  <c r="V77" i="4" s="1"/>
  <c r="S73" i="4"/>
  <c r="U73" i="4" s="1"/>
  <c r="V73" i="4" s="1"/>
  <c r="S69" i="4"/>
  <c r="U69" i="4" s="1"/>
  <c r="V69" i="4" s="1"/>
  <c r="S65" i="4"/>
  <c r="U65" i="4" s="1"/>
  <c r="V65" i="4" s="1"/>
  <c r="S61" i="4"/>
  <c r="U61" i="4" s="1"/>
  <c r="V61" i="4" s="1"/>
  <c r="S57" i="4"/>
  <c r="U57" i="4" s="1"/>
  <c r="V57" i="4" s="1"/>
  <c r="S53" i="4"/>
  <c r="U53" i="4" s="1"/>
  <c r="V53" i="4" s="1"/>
  <c r="S49" i="4"/>
  <c r="U49" i="4" s="1"/>
  <c r="V49" i="4" s="1"/>
  <c r="S45" i="4"/>
  <c r="U45" i="4" s="1"/>
  <c r="V45" i="4" s="1"/>
  <c r="S41" i="4"/>
  <c r="U41" i="4" s="1"/>
  <c r="V41" i="4" s="1"/>
  <c r="S37" i="4"/>
  <c r="U37" i="4" s="1"/>
  <c r="V37" i="4" s="1"/>
  <c r="S33" i="4"/>
  <c r="U33" i="4" s="1"/>
  <c r="V33" i="4" s="1"/>
  <c r="S29" i="4"/>
  <c r="U29" i="4" s="1"/>
  <c r="V29" i="4" s="1"/>
  <c r="S25" i="4"/>
  <c r="U25" i="4" s="1"/>
  <c r="V25" i="4" s="1"/>
  <c r="S21" i="4"/>
  <c r="U21" i="4" s="1"/>
  <c r="V21" i="4" s="1"/>
  <c r="S17" i="4"/>
  <c r="U17" i="4" s="1"/>
  <c r="V17" i="4" s="1"/>
  <c r="S13" i="4"/>
  <c r="U13" i="4" s="1"/>
  <c r="V13" i="4" s="1"/>
  <c r="S9" i="4"/>
  <c r="U9" i="4" s="1"/>
  <c r="V9" i="4" s="1"/>
  <c r="S5" i="4"/>
  <c r="U5" i="4" s="1"/>
  <c r="V5" i="4" s="1"/>
  <c r="S4" i="4"/>
  <c r="S82" i="4"/>
  <c r="U82" i="4" s="1"/>
  <c r="V82" i="4" s="1"/>
  <c r="S70" i="4"/>
  <c r="U70" i="4" s="1"/>
  <c r="V70" i="4" s="1"/>
  <c r="S62" i="4"/>
  <c r="U62" i="4" s="1"/>
  <c r="V62" i="4" s="1"/>
  <c r="S54" i="4"/>
  <c r="U54" i="4" s="1"/>
  <c r="V54" i="4" s="1"/>
  <c r="S42" i="4"/>
  <c r="U42" i="4" s="1"/>
  <c r="V42" i="4" s="1"/>
  <c r="S34" i="4"/>
  <c r="U34" i="4" s="1"/>
  <c r="V34" i="4" s="1"/>
  <c r="S30" i="4"/>
  <c r="U30" i="4" s="1"/>
  <c r="V30" i="4" s="1"/>
  <c r="S26" i="4"/>
  <c r="U26" i="4" s="1"/>
  <c r="V26" i="4" s="1"/>
  <c r="S22" i="4"/>
  <c r="U22" i="4" s="1"/>
  <c r="V22" i="4" s="1"/>
  <c r="S18" i="4"/>
  <c r="U18" i="4" s="1"/>
  <c r="V18" i="4" s="1"/>
  <c r="S10" i="4"/>
  <c r="U10" i="4" s="1"/>
  <c r="V10" i="4" s="1"/>
  <c r="S6" i="4"/>
  <c r="U6" i="4" s="1"/>
  <c r="V6" i="4" s="1"/>
  <c r="U4" i="4" l="1"/>
  <c r="S90" i="4"/>
  <c r="AH9" i="3"/>
  <c r="AH8" i="3"/>
  <c r="AH11" i="3"/>
  <c r="AH12" i="3"/>
  <c r="AH10" i="3"/>
  <c r="E7" i="2"/>
  <c r="AH5" i="3"/>
  <c r="AI13" i="3"/>
  <c r="AI8" i="3"/>
  <c r="AI12" i="3"/>
  <c r="AI11" i="3"/>
  <c r="AI10" i="3"/>
  <c r="AI9" i="3"/>
  <c r="T14" i="3"/>
  <c r="T50" i="3"/>
  <c r="T38" i="3"/>
  <c r="T64" i="3"/>
  <c r="T70" i="3"/>
  <c r="T39" i="3"/>
  <c r="T49" i="3"/>
  <c r="T19" i="3"/>
  <c r="T75" i="3"/>
  <c r="T34" i="3"/>
  <c r="T32" i="3"/>
  <c r="T66" i="3"/>
  <c r="T83" i="3"/>
  <c r="T60" i="3"/>
  <c r="T69" i="3"/>
  <c r="T15" i="3"/>
  <c r="T85" i="3"/>
  <c r="T37" i="3"/>
  <c r="T6" i="3"/>
  <c r="T46" i="3"/>
  <c r="T24" i="3"/>
  <c r="T11" i="3"/>
  <c r="T72" i="3"/>
  <c r="T52" i="3"/>
  <c r="T17" i="3"/>
  <c r="T65" i="3"/>
  <c r="T22" i="3"/>
  <c r="T45" i="3"/>
  <c r="T79" i="3"/>
  <c r="T61" i="3"/>
  <c r="T67" i="3"/>
  <c r="T62" i="3"/>
  <c r="T68" i="3"/>
  <c r="T87" i="3"/>
  <c r="T47" i="3"/>
  <c r="T54" i="3"/>
  <c r="T33" i="3"/>
  <c r="T88" i="3"/>
  <c r="T7" i="3"/>
  <c r="T86" i="3"/>
  <c r="T10" i="3"/>
  <c r="T48" i="3"/>
  <c r="T13" i="3"/>
  <c r="T84" i="3"/>
  <c r="T74" i="3"/>
  <c r="T56" i="3"/>
  <c r="T26" i="3"/>
  <c r="T27" i="3"/>
  <c r="T82" i="3"/>
  <c r="T77" i="3"/>
  <c r="T59" i="3"/>
  <c r="T63" i="3"/>
  <c r="T20" i="3"/>
  <c r="T16" i="3"/>
  <c r="T31" i="3"/>
  <c r="T5" i="3"/>
  <c r="T80" i="3"/>
  <c r="T42" i="3"/>
  <c r="T29" i="3"/>
  <c r="T40" i="3"/>
  <c r="T53" i="3"/>
  <c r="T21" i="3"/>
  <c r="T35" i="3"/>
  <c r="P5" i="3"/>
  <c r="T90" i="3"/>
  <c r="T57" i="3"/>
  <c r="T44" i="3"/>
  <c r="T8" i="3"/>
  <c r="T76" i="3"/>
  <c r="T30" i="3"/>
  <c r="T58" i="3"/>
  <c r="T12" i="3"/>
  <c r="T36" i="3"/>
  <c r="T43" i="3"/>
  <c r="T55" i="3"/>
  <c r="T73" i="3"/>
  <c r="T89" i="3"/>
  <c r="T18" i="3"/>
  <c r="T9" i="3"/>
  <c r="T25" i="3"/>
  <c r="T41" i="3"/>
  <c r="T28" i="3"/>
  <c r="T51" i="3"/>
  <c r="T71" i="3"/>
  <c r="T78" i="3"/>
  <c r="T81" i="3"/>
  <c r="T23" i="3"/>
  <c r="V4" i="4" l="1"/>
  <c r="U90" i="4"/>
  <c r="U6" i="3"/>
  <c r="U10" i="3"/>
  <c r="U14" i="3"/>
  <c r="U18" i="3"/>
  <c r="U22" i="3"/>
  <c r="U26" i="3"/>
  <c r="U30" i="3"/>
  <c r="U34" i="3"/>
  <c r="U38" i="3"/>
  <c r="U42" i="3"/>
  <c r="U46" i="3"/>
  <c r="U50" i="3"/>
  <c r="U54" i="3"/>
  <c r="U58" i="3"/>
  <c r="U62" i="3"/>
  <c r="U66" i="3"/>
  <c r="U70" i="3"/>
  <c r="U74" i="3"/>
  <c r="U78" i="3"/>
  <c r="U82" i="3"/>
  <c r="U86" i="3"/>
  <c r="U90" i="3"/>
  <c r="U51" i="3"/>
  <c r="U55" i="3"/>
  <c r="U59" i="3"/>
  <c r="U63" i="3"/>
  <c r="U71" i="3"/>
  <c r="U75" i="3"/>
  <c r="U83" i="3"/>
  <c r="U8" i="3"/>
  <c r="U12" i="3"/>
  <c r="U16" i="3"/>
  <c r="U20" i="3"/>
  <c r="U24" i="3"/>
  <c r="U28" i="3"/>
  <c r="U32" i="3"/>
  <c r="U36" i="3"/>
  <c r="U40" i="3"/>
  <c r="U44" i="3"/>
  <c r="U48" i="3"/>
  <c r="U52" i="3"/>
  <c r="U56" i="3"/>
  <c r="U60" i="3"/>
  <c r="U64" i="3"/>
  <c r="U68" i="3"/>
  <c r="U72" i="3"/>
  <c r="U76" i="3"/>
  <c r="U80" i="3"/>
  <c r="U84" i="3"/>
  <c r="U88" i="3"/>
  <c r="U9" i="3"/>
  <c r="U13" i="3"/>
  <c r="U17" i="3"/>
  <c r="U21" i="3"/>
  <c r="U25" i="3"/>
  <c r="U29" i="3"/>
  <c r="U33" i="3"/>
  <c r="U37" i="3"/>
  <c r="U41" i="3"/>
  <c r="U45" i="3"/>
  <c r="U49" i="3"/>
  <c r="U53" i="3"/>
  <c r="U57" i="3"/>
  <c r="U61" i="3"/>
  <c r="U65" i="3"/>
  <c r="U69" i="3"/>
  <c r="U73" i="3"/>
  <c r="U77" i="3"/>
  <c r="U81" i="3"/>
  <c r="U85" i="3"/>
  <c r="U89" i="3"/>
  <c r="U7" i="3"/>
  <c r="U11" i="3"/>
  <c r="U15" i="3"/>
  <c r="U19" i="3"/>
  <c r="U23" i="3"/>
  <c r="U27" i="3"/>
  <c r="U31" i="3"/>
  <c r="U35" i="3"/>
  <c r="U39" i="3"/>
  <c r="U43" i="3"/>
  <c r="U47" i="3"/>
  <c r="U67" i="3"/>
  <c r="U79" i="3"/>
  <c r="U87" i="3"/>
  <c r="U5" i="3"/>
  <c r="T91" i="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U91" i="3" l="1"/>
  <c r="Q5" i="3"/>
  <c r="R5" i="3" s="1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38" i="2" l="1"/>
  <c r="E38" i="2"/>
  <c r="F38" i="2"/>
  <c r="N68" i="3"/>
  <c r="G74" i="3"/>
  <c r="E42" i="3"/>
  <c r="E53" i="3"/>
  <c r="P65" i="3"/>
  <c r="N77" i="3"/>
  <c r="G89" i="3"/>
  <c r="N59" i="3"/>
  <c r="G23" i="3"/>
  <c r="K33" i="3"/>
  <c r="P28" i="3"/>
  <c r="E15" i="3"/>
  <c r="E62" i="3"/>
  <c r="E70" i="3"/>
  <c r="P77" i="3"/>
  <c r="K61" i="3"/>
  <c r="P22" i="3"/>
  <c r="E18" i="3"/>
  <c r="N79" i="3"/>
  <c r="P49" i="3"/>
  <c r="K32" i="3"/>
  <c r="K48" i="3"/>
  <c r="G53" i="3"/>
  <c r="K5" i="3"/>
  <c r="K29" i="3"/>
  <c r="E76" i="3"/>
  <c r="E54" i="3"/>
  <c r="K66" i="3"/>
  <c r="G24" i="3"/>
  <c r="K18" i="3"/>
  <c r="K7" i="3"/>
  <c r="G35" i="3"/>
  <c r="G43" i="3"/>
  <c r="P31" i="3"/>
  <c r="G70" i="3"/>
  <c r="P76" i="3"/>
  <c r="G10" i="3"/>
  <c r="G33" i="3"/>
  <c r="P60" i="3"/>
  <c r="K55" i="3"/>
  <c r="K45" i="3"/>
  <c r="P8" i="3"/>
  <c r="E28" i="3"/>
  <c r="G79" i="3"/>
  <c r="P84" i="3"/>
  <c r="E72" i="3"/>
  <c r="K64" i="3"/>
  <c r="P24" i="3"/>
  <c r="N8" i="3"/>
  <c r="G46" i="3"/>
  <c r="P27" i="3"/>
  <c r="N16" i="3"/>
  <c r="G11" i="3"/>
  <c r="P68" i="3"/>
  <c r="E63" i="3"/>
  <c r="G17" i="3"/>
  <c r="N84" i="3"/>
  <c r="E58" i="3"/>
  <c r="K25" i="3"/>
  <c r="E64" i="3"/>
  <c r="K12" i="3"/>
  <c r="G69" i="3"/>
  <c r="N82" i="3"/>
  <c r="E89" i="3"/>
  <c r="P16" i="3"/>
  <c r="G20" i="3"/>
  <c r="N22" i="3"/>
  <c r="E73" i="3"/>
  <c r="P44" i="3"/>
  <c r="K28" i="3"/>
  <c r="G88" i="3"/>
  <c r="E84" i="3"/>
  <c r="K74" i="3"/>
  <c r="K37" i="3"/>
  <c r="G28" i="3"/>
  <c r="G87" i="3"/>
  <c r="E43" i="3"/>
  <c r="G84" i="3"/>
  <c r="K31" i="3"/>
  <c r="E45" i="3"/>
  <c r="K79" i="3"/>
  <c r="G64" i="3"/>
  <c r="N66" i="3"/>
  <c r="K26" i="3"/>
  <c r="E20" i="3"/>
  <c r="G12" i="3"/>
  <c r="P12" i="3"/>
  <c r="E26" i="3"/>
  <c r="N31" i="3"/>
  <c r="G8" i="3"/>
  <c r="G73" i="3"/>
  <c r="G81" i="3"/>
  <c r="K52" i="3"/>
  <c r="K68" i="3"/>
  <c r="G47" i="3"/>
  <c r="E74" i="3"/>
  <c r="G37" i="3"/>
  <c r="N50" i="3"/>
  <c r="E57" i="3"/>
  <c r="P51" i="3"/>
  <c r="P64" i="3"/>
  <c r="P72" i="3"/>
  <c r="E19" i="3"/>
  <c r="P17" i="3"/>
  <c r="P29" i="3"/>
  <c r="P35" i="3"/>
  <c r="N12" i="3"/>
  <c r="E52" i="3"/>
  <c r="E44" i="3"/>
  <c r="P62" i="3"/>
  <c r="N41" i="3"/>
  <c r="K75" i="3"/>
  <c r="G58" i="3"/>
  <c r="K21" i="3"/>
  <c r="K22" i="3"/>
  <c r="N11" i="3"/>
  <c r="E71" i="3"/>
  <c r="G34" i="3"/>
  <c r="G51" i="3"/>
  <c r="P67" i="3"/>
  <c r="N69" i="3"/>
  <c r="P42" i="3"/>
  <c r="E75" i="3"/>
  <c r="E59" i="3"/>
  <c r="G44" i="3"/>
  <c r="P86" i="3"/>
  <c r="P26" i="3"/>
  <c r="P20" i="3"/>
  <c r="K39" i="3"/>
  <c r="P30" i="3"/>
  <c r="N24" i="3"/>
  <c r="P66" i="3"/>
  <c r="P74" i="3"/>
  <c r="E14" i="3"/>
  <c r="K15" i="3"/>
  <c r="G32" i="3"/>
  <c r="N34" i="3"/>
  <c r="E66" i="3"/>
  <c r="N56" i="3"/>
  <c r="G59" i="3"/>
  <c r="P63" i="3"/>
  <c r="E47" i="3"/>
  <c r="N88" i="3"/>
  <c r="K20" i="3"/>
  <c r="G40" i="3"/>
  <c r="K65" i="3"/>
  <c r="K57" i="3"/>
  <c r="P58" i="3"/>
  <c r="E7" i="3"/>
  <c r="N18" i="3"/>
  <c r="G27" i="3"/>
  <c r="K36" i="3"/>
  <c r="E6" i="3"/>
  <c r="P57" i="3"/>
  <c r="K76" i="3"/>
  <c r="G60" i="3"/>
  <c r="N27" i="3"/>
  <c r="E46" i="3"/>
  <c r="N62" i="3"/>
  <c r="G52" i="3"/>
  <c r="G7" i="3"/>
  <c r="E69" i="3"/>
  <c r="N87" i="3"/>
  <c r="G90" i="3"/>
  <c r="N17" i="3"/>
  <c r="N48" i="3"/>
  <c r="N83" i="3"/>
  <c r="E9" i="3"/>
  <c r="G5" i="3"/>
  <c r="K23" i="3"/>
  <c r="G85" i="3"/>
  <c r="N90" i="3"/>
  <c r="E12" i="3"/>
  <c r="P80" i="3"/>
  <c r="N44" i="3"/>
  <c r="N38" i="3"/>
  <c r="K58" i="3"/>
  <c r="K90" i="3"/>
  <c r="K80" i="3"/>
  <c r="G61" i="3"/>
  <c r="N63" i="3"/>
  <c r="G82" i="3"/>
  <c r="N36" i="3"/>
  <c r="P11" i="3"/>
  <c r="N14" i="3"/>
  <c r="E31" i="3"/>
  <c r="E37" i="3"/>
  <c r="E48" i="3"/>
  <c r="N60" i="3"/>
  <c r="K62" i="3"/>
  <c r="K53" i="3"/>
  <c r="N7" i="3"/>
  <c r="K78" i="3"/>
  <c r="N23" i="3"/>
  <c r="P39" i="3"/>
  <c r="N47" i="3"/>
  <c r="G38" i="3"/>
  <c r="N64" i="3"/>
  <c r="N32" i="3"/>
  <c r="N42" i="3"/>
  <c r="G42" i="3"/>
  <c r="G29" i="3"/>
  <c r="K82" i="3"/>
  <c r="G25" i="3"/>
  <c r="P32" i="3"/>
  <c r="K83" i="3"/>
  <c r="G67" i="3"/>
  <c r="E32" i="3"/>
  <c r="N28" i="3"/>
  <c r="N67" i="3"/>
  <c r="N75" i="3"/>
  <c r="N39" i="3"/>
  <c r="G18" i="3"/>
  <c r="P38" i="3"/>
  <c r="G83" i="3"/>
  <c r="K73" i="3"/>
  <c r="E49" i="3"/>
  <c r="N65" i="3"/>
  <c r="P75" i="3"/>
  <c r="P83" i="3"/>
  <c r="G78" i="3"/>
  <c r="N25" i="3"/>
  <c r="E16" i="3"/>
  <c r="N72" i="3"/>
  <c r="K85" i="3"/>
  <c r="E60" i="3"/>
  <c r="P48" i="3"/>
  <c r="N71" i="3"/>
  <c r="N78" i="3"/>
  <c r="N89" i="3"/>
  <c r="K51" i="3"/>
  <c r="E67" i="3"/>
  <c r="G63" i="3"/>
  <c r="N61" i="3"/>
  <c r="E34" i="3"/>
  <c r="K9" i="3"/>
  <c r="P19" i="3"/>
  <c r="E88" i="3"/>
  <c r="K6" i="3"/>
  <c r="N51" i="3"/>
  <c r="G22" i="3"/>
  <c r="P71" i="3"/>
  <c r="P21" i="3"/>
  <c r="P40" i="3"/>
  <c r="K41" i="3"/>
  <c r="G66" i="3"/>
  <c r="K30" i="3"/>
  <c r="N52" i="3"/>
  <c r="E51" i="3"/>
  <c r="P73" i="3"/>
  <c r="E30" i="3"/>
  <c r="E40" i="3"/>
  <c r="P79" i="3"/>
  <c r="E82" i="3"/>
  <c r="G21" i="3"/>
  <c r="N26" i="3"/>
  <c r="E23" i="3"/>
  <c r="G65" i="3"/>
  <c r="K38" i="3"/>
  <c r="P56" i="3"/>
  <c r="K50" i="3"/>
  <c r="N58" i="3"/>
  <c r="G86" i="3"/>
  <c r="N40" i="3"/>
  <c r="N35" i="3"/>
  <c r="N43" i="3"/>
  <c r="N30" i="3"/>
  <c r="N19" i="3"/>
  <c r="N70" i="3"/>
  <c r="G56" i="3"/>
  <c r="N86" i="3"/>
  <c r="G62" i="3"/>
  <c r="G41" i="3"/>
  <c r="G49" i="3"/>
  <c r="K71" i="3"/>
  <c r="K87" i="3"/>
  <c r="G76" i="3"/>
  <c r="K81" i="3"/>
  <c r="E39" i="3"/>
  <c r="N20" i="3"/>
  <c r="K54" i="3"/>
  <c r="K44" i="3"/>
  <c r="E80" i="3"/>
  <c r="N9" i="3"/>
  <c r="K43" i="3"/>
  <c r="K77" i="3"/>
  <c r="K17" i="3"/>
  <c r="K40" i="3"/>
  <c r="K60" i="3"/>
  <c r="G13" i="3"/>
  <c r="P53" i="3"/>
  <c r="E10" i="3"/>
  <c r="P25" i="3"/>
  <c r="P33" i="3"/>
  <c r="N45" i="3"/>
  <c r="G48" i="3"/>
  <c r="P52" i="3"/>
  <c r="E56" i="3"/>
  <c r="N10" i="3"/>
  <c r="K11" i="3"/>
  <c r="E21" i="3"/>
  <c r="E29" i="3"/>
  <c r="K14" i="3"/>
  <c r="P9" i="3"/>
  <c r="G31" i="3"/>
  <c r="P7" i="3"/>
  <c r="E85" i="3"/>
  <c r="G45" i="3"/>
  <c r="K46" i="3"/>
  <c r="E81" i="3"/>
  <c r="E13" i="3"/>
  <c r="N21" i="3"/>
  <c r="N29" i="3"/>
  <c r="E24" i="3"/>
  <c r="E11" i="3"/>
  <c r="P85" i="3"/>
  <c r="P18" i="3"/>
  <c r="K72" i="3"/>
  <c r="K88" i="3"/>
  <c r="E22" i="3"/>
  <c r="G14" i="3"/>
  <c r="N15" i="3"/>
  <c r="E27" i="3"/>
  <c r="G57" i="3"/>
  <c r="E65" i="3"/>
  <c r="N73" i="3"/>
  <c r="N81" i="3"/>
  <c r="K35" i="3"/>
  <c r="E83" i="3"/>
  <c r="N55" i="3"/>
  <c r="N49" i="3"/>
  <c r="P88" i="3"/>
  <c r="K34" i="3"/>
  <c r="P59" i="3"/>
  <c r="P45" i="3"/>
  <c r="E41" i="3"/>
  <c r="G16" i="3"/>
  <c r="K56" i="3"/>
  <c r="K70" i="3"/>
  <c r="K86" i="3"/>
  <c r="G19" i="3"/>
  <c r="E33" i="3"/>
  <c r="G77" i="3"/>
  <c r="P54" i="3"/>
  <c r="E50" i="3"/>
  <c r="E17" i="3"/>
  <c r="P81" i="3"/>
  <c r="N85" i="3"/>
  <c r="G30" i="3"/>
  <c r="N54" i="3"/>
  <c r="N37" i="3"/>
  <c r="N57" i="3"/>
  <c r="K8" i="3"/>
  <c r="K13" i="3"/>
  <c r="E77" i="3"/>
  <c r="K59" i="3"/>
  <c r="P13" i="3"/>
  <c r="K27" i="3"/>
  <c r="K67" i="3"/>
  <c r="G68" i="3"/>
  <c r="K10" i="3"/>
  <c r="E36" i="3"/>
  <c r="E55" i="3"/>
  <c r="K19" i="3"/>
  <c r="E61" i="3"/>
  <c r="N5" i="3"/>
  <c r="N33" i="3"/>
  <c r="G6" i="3"/>
  <c r="N13" i="3"/>
  <c r="P6" i="3"/>
  <c r="P82" i="3"/>
  <c r="K16" i="3"/>
  <c r="P78" i="3"/>
  <c r="P34" i="3"/>
  <c r="G9" i="3"/>
  <c r="E78" i="3"/>
  <c r="E38" i="3"/>
  <c r="P61" i="3"/>
  <c r="N46" i="3"/>
  <c r="E90" i="3"/>
  <c r="K89" i="3"/>
  <c r="E87" i="3"/>
  <c r="P55" i="3"/>
  <c r="P89" i="3"/>
  <c r="K49" i="3"/>
  <c r="P46" i="3"/>
  <c r="E79" i="3"/>
  <c r="P36" i="3"/>
  <c r="K42" i="3"/>
  <c r="G39" i="3"/>
  <c r="P47" i="3"/>
  <c r="G36" i="3"/>
  <c r="G71" i="3"/>
  <c r="K24" i="3"/>
  <c r="P70" i="3"/>
  <c r="P10" i="3"/>
  <c r="N80" i="3"/>
  <c r="G55" i="3"/>
  <c r="G26" i="3"/>
  <c r="K84" i="3"/>
  <c r="P90" i="3"/>
  <c r="P41" i="3"/>
  <c r="E86" i="3"/>
  <c r="N53" i="3"/>
  <c r="P37" i="3"/>
  <c r="P50" i="3"/>
  <c r="P43" i="3"/>
  <c r="G80" i="3"/>
  <c r="G50" i="3"/>
  <c r="N76" i="3"/>
  <c r="K63" i="3"/>
  <c r="P23" i="3"/>
  <c r="G72" i="3"/>
  <c r="G15" i="3"/>
  <c r="E8" i="3"/>
  <c r="P14" i="3"/>
  <c r="G75" i="3"/>
  <c r="E5" i="3"/>
  <c r="E25" i="3"/>
  <c r="K47" i="3"/>
  <c r="K69" i="3"/>
  <c r="N6" i="3"/>
  <c r="P69" i="3"/>
  <c r="N74" i="3"/>
  <c r="P87" i="3"/>
  <c r="P15" i="3"/>
  <c r="G54" i="3"/>
  <c r="E35" i="3"/>
  <c r="E68" i="3"/>
  <c r="Y68" i="3" l="1"/>
  <c r="C67" i="4" s="1"/>
  <c r="E67" i="4" s="1"/>
  <c r="F67" i="4" s="1"/>
  <c r="W68" i="3"/>
  <c r="X68" i="3" s="1"/>
  <c r="AC68" i="3" s="1"/>
  <c r="Y35" i="3"/>
  <c r="C34" i="4" s="1"/>
  <c r="E34" i="4" s="1"/>
  <c r="F34" i="4" s="1"/>
  <c r="W35" i="3"/>
  <c r="X35" i="3" s="1"/>
  <c r="AC35" i="3" s="1"/>
  <c r="H54" i="3"/>
  <c r="I54" i="3" s="1"/>
  <c r="Q15" i="3"/>
  <c r="R15" i="3" s="1"/>
  <c r="Q87" i="3"/>
  <c r="R87" i="3" s="1"/>
  <c r="Q69" i="3"/>
  <c r="R69" i="3" s="1"/>
  <c r="L69" i="3"/>
  <c r="M69" i="3" s="1"/>
  <c r="AB69" i="3" s="1"/>
  <c r="L47" i="3"/>
  <c r="M47" i="3" s="1"/>
  <c r="AB47" i="3" s="1"/>
  <c r="Y25" i="3"/>
  <c r="C24" i="4" s="1"/>
  <c r="E24" i="4" s="1"/>
  <c r="F24" i="4" s="1"/>
  <c r="W25" i="3"/>
  <c r="X25" i="3" s="1"/>
  <c r="AC25" i="3" s="1"/>
  <c r="W5" i="3"/>
  <c r="X5" i="3" s="1"/>
  <c r="AC5" i="3" s="1"/>
  <c r="E91" i="3"/>
  <c r="Y5" i="3"/>
  <c r="C4" i="4" s="1"/>
  <c r="E4" i="4" s="1"/>
  <c r="H75" i="3"/>
  <c r="I75" i="3" s="1"/>
  <c r="Q14" i="3"/>
  <c r="R14" i="3" s="1"/>
  <c r="Y8" i="3"/>
  <c r="C7" i="4" s="1"/>
  <c r="E7" i="4" s="1"/>
  <c r="F7" i="4" s="1"/>
  <c r="W8" i="3"/>
  <c r="X8" i="3" s="1"/>
  <c r="AC8" i="3" s="1"/>
  <c r="H15" i="3"/>
  <c r="I15" i="3" s="1"/>
  <c r="H72" i="3"/>
  <c r="I72" i="3" s="1"/>
  <c r="Q23" i="3"/>
  <c r="R23" i="3" s="1"/>
  <c r="L63" i="3"/>
  <c r="M63" i="3" s="1"/>
  <c r="AB63" i="3" s="1"/>
  <c r="H50" i="3"/>
  <c r="I50" i="3" s="1"/>
  <c r="H80" i="3"/>
  <c r="I80" i="3" s="1"/>
  <c r="Q43" i="3"/>
  <c r="R43" i="3" s="1"/>
  <c r="Q50" i="3"/>
  <c r="R50" i="3" s="1"/>
  <c r="Q37" i="3"/>
  <c r="R37" i="3" s="1"/>
  <c r="Y86" i="3"/>
  <c r="C85" i="4" s="1"/>
  <c r="E85" i="4" s="1"/>
  <c r="F85" i="4" s="1"/>
  <c r="W86" i="3"/>
  <c r="X86" i="3" s="1"/>
  <c r="AC86" i="3" s="1"/>
  <c r="Q41" i="3"/>
  <c r="R41" i="3" s="1"/>
  <c r="Q90" i="3"/>
  <c r="R90" i="3" s="1"/>
  <c r="L84" i="3"/>
  <c r="M84" i="3" s="1"/>
  <c r="AB84" i="3" s="1"/>
  <c r="H26" i="3"/>
  <c r="H55" i="3"/>
  <c r="I55" i="3" s="1"/>
  <c r="Q10" i="3"/>
  <c r="R10" i="3" s="1"/>
  <c r="Q70" i="3"/>
  <c r="R70" i="3" s="1"/>
  <c r="L24" i="3"/>
  <c r="M24" i="3" s="1"/>
  <c r="AB24" i="3" s="1"/>
  <c r="H71" i="3"/>
  <c r="H36" i="3"/>
  <c r="I36" i="3" s="1"/>
  <c r="Q47" i="3"/>
  <c r="R47" i="3" s="1"/>
  <c r="H39" i="3"/>
  <c r="I39" i="3" s="1"/>
  <c r="L42" i="3"/>
  <c r="M42" i="3" s="1"/>
  <c r="AB42" i="3" s="1"/>
  <c r="Q36" i="3"/>
  <c r="R36" i="3" s="1"/>
  <c r="Y79" i="3"/>
  <c r="C78" i="4" s="1"/>
  <c r="E78" i="4" s="1"/>
  <c r="F78" i="4" s="1"/>
  <c r="W79" i="3"/>
  <c r="X79" i="3" s="1"/>
  <c r="AC79" i="3" s="1"/>
  <c r="Q46" i="3"/>
  <c r="R46" i="3" s="1"/>
  <c r="L49" i="3"/>
  <c r="M49" i="3" s="1"/>
  <c r="AB49" i="3" s="1"/>
  <c r="Q89" i="3"/>
  <c r="R89" i="3" s="1"/>
  <c r="Q55" i="3"/>
  <c r="R55" i="3" s="1"/>
  <c r="Y87" i="3"/>
  <c r="C86" i="4" s="1"/>
  <c r="E86" i="4" s="1"/>
  <c r="F86" i="4" s="1"/>
  <c r="W87" i="3"/>
  <c r="X87" i="3" s="1"/>
  <c r="AC87" i="3" s="1"/>
  <c r="L89" i="3"/>
  <c r="M89" i="3" s="1"/>
  <c r="AB89" i="3" s="1"/>
  <c r="W90" i="3"/>
  <c r="X90" i="3" s="1"/>
  <c r="AC90" i="3" s="1"/>
  <c r="Y90" i="3"/>
  <c r="C89" i="4" s="1"/>
  <c r="E89" i="4" s="1"/>
  <c r="F89" i="4" s="1"/>
  <c r="Q61" i="3"/>
  <c r="R61" i="3" s="1"/>
  <c r="W38" i="3"/>
  <c r="X38" i="3" s="1"/>
  <c r="AC38" i="3" s="1"/>
  <c r="Y38" i="3"/>
  <c r="C37" i="4" s="1"/>
  <c r="E37" i="4" s="1"/>
  <c r="F37" i="4" s="1"/>
  <c r="W78" i="3"/>
  <c r="X78" i="3" s="1"/>
  <c r="AC78" i="3" s="1"/>
  <c r="Y78" i="3"/>
  <c r="C77" i="4" s="1"/>
  <c r="E77" i="4" s="1"/>
  <c r="F77" i="4" s="1"/>
  <c r="H9" i="3"/>
  <c r="I9" i="3" s="1"/>
  <c r="Q34" i="3"/>
  <c r="R34" i="3" s="1"/>
  <c r="Q78" i="3"/>
  <c r="R78" i="3" s="1"/>
  <c r="L16" i="3"/>
  <c r="M16" i="3" s="1"/>
  <c r="AB16" i="3" s="1"/>
  <c r="Q82" i="3"/>
  <c r="R82" i="3" s="1"/>
  <c r="P91" i="3"/>
  <c r="Q6" i="3"/>
  <c r="R6" i="3" s="1"/>
  <c r="H6" i="3"/>
  <c r="I6" i="3" s="1"/>
  <c r="N91" i="3"/>
  <c r="Y61" i="3"/>
  <c r="C60" i="4" s="1"/>
  <c r="E60" i="4" s="1"/>
  <c r="F60" i="4" s="1"/>
  <c r="W61" i="3"/>
  <c r="X61" i="3" s="1"/>
  <c r="AC61" i="3" s="1"/>
  <c r="L19" i="3"/>
  <c r="M19" i="3" s="1"/>
  <c r="AB19" i="3" s="1"/>
  <c r="W55" i="3"/>
  <c r="X55" i="3" s="1"/>
  <c r="AC55" i="3" s="1"/>
  <c r="Y55" i="3"/>
  <c r="C54" i="4" s="1"/>
  <c r="E54" i="4" s="1"/>
  <c r="F54" i="4" s="1"/>
  <c r="W36" i="3"/>
  <c r="X36" i="3" s="1"/>
  <c r="AC36" i="3" s="1"/>
  <c r="Y36" i="3"/>
  <c r="C35" i="4" s="1"/>
  <c r="E35" i="4" s="1"/>
  <c r="F35" i="4" s="1"/>
  <c r="L10" i="3"/>
  <c r="M10" i="3" s="1"/>
  <c r="AB10" i="3" s="1"/>
  <c r="H68" i="3"/>
  <c r="I68" i="3" s="1"/>
  <c r="L67" i="3"/>
  <c r="M67" i="3" s="1"/>
  <c r="AB67" i="3" s="1"/>
  <c r="L27" i="3"/>
  <c r="M27" i="3" s="1"/>
  <c r="AB27" i="3" s="1"/>
  <c r="Q13" i="3"/>
  <c r="R13" i="3" s="1"/>
  <c r="L59" i="3"/>
  <c r="M59" i="3" s="1"/>
  <c r="AB59" i="3" s="1"/>
  <c r="Y77" i="3"/>
  <c r="C76" i="4" s="1"/>
  <c r="E76" i="4" s="1"/>
  <c r="F76" i="4" s="1"/>
  <c r="W77" i="3"/>
  <c r="X77" i="3" s="1"/>
  <c r="AC77" i="3" s="1"/>
  <c r="L13" i="3"/>
  <c r="M13" i="3" s="1"/>
  <c r="AB13" i="3" s="1"/>
  <c r="L8" i="3"/>
  <c r="M8" i="3" s="1"/>
  <c r="AB8" i="3" s="1"/>
  <c r="H30" i="3"/>
  <c r="I30" i="3" s="1"/>
  <c r="Q81" i="3"/>
  <c r="R81" i="3" s="1"/>
  <c r="W17" i="3"/>
  <c r="X17" i="3" s="1"/>
  <c r="AC17" i="3" s="1"/>
  <c r="Y17" i="3"/>
  <c r="C16" i="4" s="1"/>
  <c r="E16" i="4" s="1"/>
  <c r="F16" i="4" s="1"/>
  <c r="W50" i="3"/>
  <c r="X50" i="3" s="1"/>
  <c r="AC50" i="3" s="1"/>
  <c r="Y50" i="3"/>
  <c r="C49" i="4" s="1"/>
  <c r="E49" i="4" s="1"/>
  <c r="F49" i="4" s="1"/>
  <c r="Q54" i="3"/>
  <c r="R54" i="3" s="1"/>
  <c r="H77" i="3"/>
  <c r="W33" i="3"/>
  <c r="X33" i="3" s="1"/>
  <c r="AC33" i="3" s="1"/>
  <c r="Y33" i="3"/>
  <c r="C32" i="4" s="1"/>
  <c r="E32" i="4" s="1"/>
  <c r="F32" i="4" s="1"/>
  <c r="H19" i="3"/>
  <c r="I19" i="3" s="1"/>
  <c r="L86" i="3"/>
  <c r="M86" i="3" s="1"/>
  <c r="AB86" i="3" s="1"/>
  <c r="L70" i="3"/>
  <c r="M70" i="3" s="1"/>
  <c r="AB70" i="3" s="1"/>
  <c r="L56" i="3"/>
  <c r="M56" i="3" s="1"/>
  <c r="AB56" i="3" s="1"/>
  <c r="H16" i="3"/>
  <c r="I16" i="3" s="1"/>
  <c r="W41" i="3"/>
  <c r="X41" i="3" s="1"/>
  <c r="AC41" i="3" s="1"/>
  <c r="Y41" i="3"/>
  <c r="C40" i="4" s="1"/>
  <c r="E40" i="4" s="1"/>
  <c r="F40" i="4" s="1"/>
  <c r="Q45" i="3"/>
  <c r="R45" i="3" s="1"/>
  <c r="Q59" i="3"/>
  <c r="R59" i="3" s="1"/>
  <c r="L34" i="3"/>
  <c r="M34" i="3" s="1"/>
  <c r="AB34" i="3" s="1"/>
  <c r="Q88" i="3"/>
  <c r="R88" i="3" s="1"/>
  <c r="W83" i="3"/>
  <c r="X83" i="3" s="1"/>
  <c r="AC83" i="3" s="1"/>
  <c r="Y83" i="3"/>
  <c r="C82" i="4" s="1"/>
  <c r="E82" i="4" s="1"/>
  <c r="F82" i="4" s="1"/>
  <c r="L35" i="3"/>
  <c r="M35" i="3" s="1"/>
  <c r="AB35" i="3" s="1"/>
  <c r="W65" i="3"/>
  <c r="X65" i="3" s="1"/>
  <c r="AC65" i="3" s="1"/>
  <c r="Y65" i="3"/>
  <c r="C64" i="4" s="1"/>
  <c r="E64" i="4" s="1"/>
  <c r="F64" i="4" s="1"/>
  <c r="H57" i="3"/>
  <c r="I57" i="3" s="1"/>
  <c r="Y27" i="3"/>
  <c r="C26" i="4" s="1"/>
  <c r="E26" i="4" s="1"/>
  <c r="F26" i="4" s="1"/>
  <c r="W27" i="3"/>
  <c r="X27" i="3" s="1"/>
  <c r="AC27" i="3" s="1"/>
  <c r="H14" i="3"/>
  <c r="Z14" i="3" s="1"/>
  <c r="W22" i="3"/>
  <c r="X22" i="3" s="1"/>
  <c r="AC22" i="3" s="1"/>
  <c r="Y22" i="3"/>
  <c r="C21" i="4" s="1"/>
  <c r="E21" i="4" s="1"/>
  <c r="F21" i="4" s="1"/>
  <c r="L88" i="3"/>
  <c r="M88" i="3" s="1"/>
  <c r="AB88" i="3" s="1"/>
  <c r="L72" i="3"/>
  <c r="M72" i="3" s="1"/>
  <c r="AB72" i="3" s="1"/>
  <c r="Q18" i="3"/>
  <c r="R18" i="3" s="1"/>
  <c r="Q85" i="3"/>
  <c r="R85" i="3" s="1"/>
  <c r="W11" i="3"/>
  <c r="X11" i="3" s="1"/>
  <c r="AC11" i="3" s="1"/>
  <c r="Y11" i="3"/>
  <c r="C10" i="4" s="1"/>
  <c r="E10" i="4" s="1"/>
  <c r="F10" i="4" s="1"/>
  <c r="Y24" i="3"/>
  <c r="C23" i="4" s="1"/>
  <c r="E23" i="4" s="1"/>
  <c r="F23" i="4" s="1"/>
  <c r="W24" i="3"/>
  <c r="X24" i="3" s="1"/>
  <c r="AC24" i="3" s="1"/>
  <c r="Y13" i="3"/>
  <c r="C12" i="4" s="1"/>
  <c r="E12" i="4" s="1"/>
  <c r="F12" i="4" s="1"/>
  <c r="W13" i="3"/>
  <c r="X13" i="3" s="1"/>
  <c r="AC13" i="3" s="1"/>
  <c r="Y81" i="3"/>
  <c r="C80" i="4" s="1"/>
  <c r="E80" i="4" s="1"/>
  <c r="F80" i="4" s="1"/>
  <c r="W81" i="3"/>
  <c r="X81" i="3" s="1"/>
  <c r="AC81" i="3" s="1"/>
  <c r="L46" i="3"/>
  <c r="M46" i="3" s="1"/>
  <c r="AB46" i="3" s="1"/>
  <c r="H45" i="3"/>
  <c r="I45" i="3" s="1"/>
  <c r="AA45" i="3" s="1"/>
  <c r="AE45" i="3" s="1"/>
  <c r="Y85" i="3"/>
  <c r="C84" i="4" s="1"/>
  <c r="E84" i="4" s="1"/>
  <c r="F84" i="4" s="1"/>
  <c r="W85" i="3"/>
  <c r="X85" i="3" s="1"/>
  <c r="AC85" i="3" s="1"/>
  <c r="Q7" i="3"/>
  <c r="R7" i="3" s="1"/>
  <c r="H31" i="3"/>
  <c r="I31" i="3" s="1"/>
  <c r="Q9" i="3"/>
  <c r="R9" i="3" s="1"/>
  <c r="L14" i="3"/>
  <c r="M14" i="3" s="1"/>
  <c r="AB14" i="3" s="1"/>
  <c r="W29" i="3"/>
  <c r="X29" i="3" s="1"/>
  <c r="AC29" i="3" s="1"/>
  <c r="Y29" i="3"/>
  <c r="C28" i="4" s="1"/>
  <c r="E28" i="4" s="1"/>
  <c r="F28" i="4" s="1"/>
  <c r="Y21" i="3"/>
  <c r="C20" i="4" s="1"/>
  <c r="E20" i="4" s="1"/>
  <c r="F20" i="4" s="1"/>
  <c r="W21" i="3"/>
  <c r="X21" i="3" s="1"/>
  <c r="AC21" i="3" s="1"/>
  <c r="L11" i="3"/>
  <c r="M11" i="3" s="1"/>
  <c r="AB11" i="3" s="1"/>
  <c r="W56" i="3"/>
  <c r="X56" i="3" s="1"/>
  <c r="AC56" i="3" s="1"/>
  <c r="Y56" i="3"/>
  <c r="C55" i="4" s="1"/>
  <c r="E55" i="4" s="1"/>
  <c r="F55" i="4" s="1"/>
  <c r="Q52" i="3"/>
  <c r="R52" i="3" s="1"/>
  <c r="H48" i="3"/>
  <c r="I48" i="3" s="1"/>
  <c r="Q33" i="3"/>
  <c r="R33" i="3" s="1"/>
  <c r="Q25" i="3"/>
  <c r="R25" i="3" s="1"/>
  <c r="Y10" i="3"/>
  <c r="C9" i="4" s="1"/>
  <c r="E9" i="4" s="1"/>
  <c r="F9" i="4" s="1"/>
  <c r="W10" i="3"/>
  <c r="X10" i="3" s="1"/>
  <c r="AC10" i="3" s="1"/>
  <c r="Q53" i="3"/>
  <c r="R53" i="3" s="1"/>
  <c r="H13" i="3"/>
  <c r="I13" i="3" s="1"/>
  <c r="L60" i="3"/>
  <c r="M60" i="3" s="1"/>
  <c r="AB60" i="3" s="1"/>
  <c r="L40" i="3"/>
  <c r="M40" i="3" s="1"/>
  <c r="AB40" i="3" s="1"/>
  <c r="L17" i="3"/>
  <c r="M17" i="3" s="1"/>
  <c r="AB17" i="3" s="1"/>
  <c r="L77" i="3"/>
  <c r="M77" i="3" s="1"/>
  <c r="AB77" i="3" s="1"/>
  <c r="L43" i="3"/>
  <c r="M43" i="3" s="1"/>
  <c r="AB43" i="3" s="1"/>
  <c r="W80" i="3"/>
  <c r="X80" i="3" s="1"/>
  <c r="AC80" i="3" s="1"/>
  <c r="Y80" i="3"/>
  <c r="C79" i="4" s="1"/>
  <c r="E79" i="4" s="1"/>
  <c r="F79" i="4" s="1"/>
  <c r="L44" i="3"/>
  <c r="M44" i="3" s="1"/>
  <c r="AB44" i="3" s="1"/>
  <c r="L54" i="3"/>
  <c r="M54" i="3" s="1"/>
  <c r="AB54" i="3" s="1"/>
  <c r="Y39" i="3"/>
  <c r="C38" i="4" s="1"/>
  <c r="E38" i="4" s="1"/>
  <c r="F38" i="4" s="1"/>
  <c r="W39" i="3"/>
  <c r="X39" i="3" s="1"/>
  <c r="AC39" i="3" s="1"/>
  <c r="L81" i="3"/>
  <c r="M81" i="3" s="1"/>
  <c r="AB81" i="3" s="1"/>
  <c r="H76" i="3"/>
  <c r="I76" i="3" s="1"/>
  <c r="L87" i="3"/>
  <c r="M87" i="3" s="1"/>
  <c r="AB87" i="3" s="1"/>
  <c r="L71" i="3"/>
  <c r="M71" i="3" s="1"/>
  <c r="AB71" i="3" s="1"/>
  <c r="H49" i="3"/>
  <c r="I49" i="3" s="1"/>
  <c r="H41" i="3"/>
  <c r="I41" i="3" s="1"/>
  <c r="H62" i="3"/>
  <c r="I62" i="3" s="1"/>
  <c r="H56" i="3"/>
  <c r="I56" i="3" s="1"/>
  <c r="H86" i="3"/>
  <c r="I86" i="3" s="1"/>
  <c r="L50" i="3"/>
  <c r="M50" i="3" s="1"/>
  <c r="AB50" i="3" s="1"/>
  <c r="Q56" i="3"/>
  <c r="R56" i="3" s="1"/>
  <c r="L38" i="3"/>
  <c r="M38" i="3" s="1"/>
  <c r="AB38" i="3" s="1"/>
  <c r="H65" i="3"/>
  <c r="I65" i="3" s="1"/>
  <c r="W23" i="3"/>
  <c r="X23" i="3" s="1"/>
  <c r="AC23" i="3" s="1"/>
  <c r="Y23" i="3"/>
  <c r="C22" i="4" s="1"/>
  <c r="E22" i="4" s="1"/>
  <c r="F22" i="4" s="1"/>
  <c r="H21" i="3"/>
  <c r="I21" i="3" s="1"/>
  <c r="Y82" i="3"/>
  <c r="C81" i="4" s="1"/>
  <c r="E81" i="4" s="1"/>
  <c r="F81" i="4" s="1"/>
  <c r="W82" i="3"/>
  <c r="X82" i="3" s="1"/>
  <c r="AC82" i="3" s="1"/>
  <c r="Q79" i="3"/>
  <c r="R79" i="3" s="1"/>
  <c r="Y40" i="3"/>
  <c r="C39" i="4" s="1"/>
  <c r="E39" i="4" s="1"/>
  <c r="F39" i="4" s="1"/>
  <c r="W40" i="3"/>
  <c r="X40" i="3" s="1"/>
  <c r="AC40" i="3" s="1"/>
  <c r="Y30" i="3"/>
  <c r="C29" i="4" s="1"/>
  <c r="E29" i="4" s="1"/>
  <c r="F29" i="4" s="1"/>
  <c r="W30" i="3"/>
  <c r="X30" i="3" s="1"/>
  <c r="AC30" i="3" s="1"/>
  <c r="Q73" i="3"/>
  <c r="R73" i="3" s="1"/>
  <c r="Y51" i="3"/>
  <c r="C50" i="4" s="1"/>
  <c r="E50" i="4" s="1"/>
  <c r="F50" i="4" s="1"/>
  <c r="W51" i="3"/>
  <c r="X51" i="3" s="1"/>
  <c r="AC51" i="3" s="1"/>
  <c r="L30" i="3"/>
  <c r="M30" i="3" s="1"/>
  <c r="AB30" i="3" s="1"/>
  <c r="H66" i="3"/>
  <c r="I66" i="3" s="1"/>
  <c r="L41" i="3"/>
  <c r="M41" i="3" s="1"/>
  <c r="AB41" i="3" s="1"/>
  <c r="Q40" i="3"/>
  <c r="R40" i="3" s="1"/>
  <c r="Q21" i="3"/>
  <c r="R21" i="3" s="1"/>
  <c r="Q71" i="3"/>
  <c r="R71" i="3" s="1"/>
  <c r="H22" i="3"/>
  <c r="I22" i="3" s="1"/>
  <c r="L6" i="3"/>
  <c r="M6" i="3" s="1"/>
  <c r="AB6" i="3" s="1"/>
  <c r="Y88" i="3"/>
  <c r="C87" i="4" s="1"/>
  <c r="E87" i="4" s="1"/>
  <c r="F87" i="4" s="1"/>
  <c r="W88" i="3"/>
  <c r="X88" i="3" s="1"/>
  <c r="AC88" i="3" s="1"/>
  <c r="Q19" i="3"/>
  <c r="R19" i="3" s="1"/>
  <c r="L9" i="3"/>
  <c r="M9" i="3" s="1"/>
  <c r="AB9" i="3" s="1"/>
  <c r="W34" i="3"/>
  <c r="X34" i="3" s="1"/>
  <c r="AC34" i="3" s="1"/>
  <c r="Y34" i="3"/>
  <c r="C33" i="4" s="1"/>
  <c r="E33" i="4" s="1"/>
  <c r="F33" i="4" s="1"/>
  <c r="H63" i="3"/>
  <c r="Y67" i="3"/>
  <c r="C66" i="4" s="1"/>
  <c r="E66" i="4" s="1"/>
  <c r="F66" i="4" s="1"/>
  <c r="W67" i="3"/>
  <c r="X67" i="3" s="1"/>
  <c r="AC67" i="3" s="1"/>
  <c r="L51" i="3"/>
  <c r="M51" i="3" s="1"/>
  <c r="AB51" i="3" s="1"/>
  <c r="Q48" i="3"/>
  <c r="R48" i="3" s="1"/>
  <c r="Y60" i="3"/>
  <c r="C59" i="4" s="1"/>
  <c r="E59" i="4" s="1"/>
  <c r="F59" i="4" s="1"/>
  <c r="W60" i="3"/>
  <c r="X60" i="3" s="1"/>
  <c r="AC60" i="3" s="1"/>
  <c r="L85" i="3"/>
  <c r="M85" i="3" s="1"/>
  <c r="AB85" i="3" s="1"/>
  <c r="Y16" i="3"/>
  <c r="C15" i="4" s="1"/>
  <c r="E15" i="4" s="1"/>
  <c r="F15" i="4" s="1"/>
  <c r="W16" i="3"/>
  <c r="X16" i="3" s="1"/>
  <c r="AC16" i="3" s="1"/>
  <c r="H78" i="3"/>
  <c r="I78" i="3" s="1"/>
  <c r="Q83" i="3"/>
  <c r="R83" i="3" s="1"/>
  <c r="Q75" i="3"/>
  <c r="R75" i="3" s="1"/>
  <c r="Y49" i="3"/>
  <c r="C48" i="4" s="1"/>
  <c r="E48" i="4" s="1"/>
  <c r="F48" i="4" s="1"/>
  <c r="W49" i="3"/>
  <c r="X49" i="3" s="1"/>
  <c r="AC49" i="3" s="1"/>
  <c r="L73" i="3"/>
  <c r="M73" i="3" s="1"/>
  <c r="AB73" i="3" s="1"/>
  <c r="H83" i="3"/>
  <c r="I83" i="3" s="1"/>
  <c r="Q38" i="3"/>
  <c r="R38" i="3" s="1"/>
  <c r="H18" i="3"/>
  <c r="I18" i="3" s="1"/>
  <c r="Y32" i="3"/>
  <c r="C31" i="4" s="1"/>
  <c r="E31" i="4" s="1"/>
  <c r="F31" i="4" s="1"/>
  <c r="W32" i="3"/>
  <c r="X32" i="3" s="1"/>
  <c r="AC32" i="3" s="1"/>
  <c r="H67" i="3"/>
  <c r="I67" i="3" s="1"/>
  <c r="L83" i="3"/>
  <c r="M83" i="3" s="1"/>
  <c r="AB83" i="3" s="1"/>
  <c r="Q32" i="3"/>
  <c r="R32" i="3" s="1"/>
  <c r="H25" i="3"/>
  <c r="I25" i="3" s="1"/>
  <c r="L82" i="3"/>
  <c r="M82" i="3" s="1"/>
  <c r="AB82" i="3" s="1"/>
  <c r="H29" i="3"/>
  <c r="I29" i="3" s="1"/>
  <c r="H42" i="3"/>
  <c r="I42" i="3" s="1"/>
  <c r="H38" i="3"/>
  <c r="I38" i="3" s="1"/>
  <c r="Q39" i="3"/>
  <c r="R39" i="3" s="1"/>
  <c r="AA39" i="3" s="1"/>
  <c r="L78" i="3"/>
  <c r="M78" i="3" s="1"/>
  <c r="AB78" i="3" s="1"/>
  <c r="L53" i="3"/>
  <c r="M53" i="3" s="1"/>
  <c r="AB53" i="3" s="1"/>
  <c r="L62" i="3"/>
  <c r="M62" i="3" s="1"/>
  <c r="AB62" i="3" s="1"/>
  <c r="W48" i="3"/>
  <c r="X48" i="3" s="1"/>
  <c r="AC48" i="3" s="1"/>
  <c r="Y48" i="3"/>
  <c r="C47" i="4" s="1"/>
  <c r="E47" i="4" s="1"/>
  <c r="F47" i="4" s="1"/>
  <c r="Y37" i="3"/>
  <c r="C36" i="4" s="1"/>
  <c r="E36" i="4" s="1"/>
  <c r="F36" i="4" s="1"/>
  <c r="W37" i="3"/>
  <c r="X37" i="3" s="1"/>
  <c r="AC37" i="3" s="1"/>
  <c r="Y31" i="3"/>
  <c r="C30" i="4" s="1"/>
  <c r="E30" i="4" s="1"/>
  <c r="F30" i="4" s="1"/>
  <c r="W31" i="3"/>
  <c r="X31" i="3" s="1"/>
  <c r="AC31" i="3" s="1"/>
  <c r="Q11" i="3"/>
  <c r="R11" i="3" s="1"/>
  <c r="H82" i="3"/>
  <c r="I82" i="3" s="1"/>
  <c r="H61" i="3"/>
  <c r="I61" i="3" s="1"/>
  <c r="L80" i="3"/>
  <c r="M80" i="3" s="1"/>
  <c r="AB80" i="3" s="1"/>
  <c r="L90" i="3"/>
  <c r="M90" i="3" s="1"/>
  <c r="AB90" i="3" s="1"/>
  <c r="L58" i="3"/>
  <c r="M58" i="3" s="1"/>
  <c r="AB58" i="3" s="1"/>
  <c r="Q80" i="3"/>
  <c r="R80" i="3" s="1"/>
  <c r="W12" i="3"/>
  <c r="X12" i="3" s="1"/>
  <c r="AC12" i="3" s="1"/>
  <c r="Y12" i="3"/>
  <c r="C11" i="4" s="1"/>
  <c r="E11" i="4" s="1"/>
  <c r="F11" i="4" s="1"/>
  <c r="H85" i="3"/>
  <c r="L23" i="3"/>
  <c r="M23" i="3" s="1"/>
  <c r="AB23" i="3" s="1"/>
  <c r="G91" i="3"/>
  <c r="H5" i="3"/>
  <c r="I5" i="3" s="1"/>
  <c r="AA5" i="3" s="1"/>
  <c r="Y9" i="3"/>
  <c r="C8" i="4" s="1"/>
  <c r="E8" i="4" s="1"/>
  <c r="F8" i="4" s="1"/>
  <c r="W9" i="3"/>
  <c r="X9" i="3" s="1"/>
  <c r="AC9" i="3" s="1"/>
  <c r="H90" i="3"/>
  <c r="I90" i="3" s="1"/>
  <c r="W69" i="3"/>
  <c r="X69" i="3" s="1"/>
  <c r="AC69" i="3" s="1"/>
  <c r="Y69" i="3"/>
  <c r="C68" i="4" s="1"/>
  <c r="E68" i="4" s="1"/>
  <c r="F68" i="4" s="1"/>
  <c r="H7" i="3"/>
  <c r="Z7" i="3" s="1"/>
  <c r="H52" i="3"/>
  <c r="I52" i="3" s="1"/>
  <c r="Y46" i="3"/>
  <c r="C45" i="4" s="1"/>
  <c r="E45" i="4" s="1"/>
  <c r="F45" i="4" s="1"/>
  <c r="W46" i="3"/>
  <c r="X46" i="3" s="1"/>
  <c r="AC46" i="3" s="1"/>
  <c r="H60" i="3"/>
  <c r="L76" i="3"/>
  <c r="M76" i="3" s="1"/>
  <c r="AB76" i="3" s="1"/>
  <c r="Q57" i="3"/>
  <c r="R57" i="3" s="1"/>
  <c r="Y6" i="3"/>
  <c r="C5" i="4" s="1"/>
  <c r="E5" i="4" s="1"/>
  <c r="F5" i="4" s="1"/>
  <c r="W6" i="3"/>
  <c r="X6" i="3" s="1"/>
  <c r="AC6" i="3" s="1"/>
  <c r="L36" i="3"/>
  <c r="M36" i="3" s="1"/>
  <c r="AB36" i="3" s="1"/>
  <c r="H27" i="3"/>
  <c r="Y7" i="3"/>
  <c r="C6" i="4" s="1"/>
  <c r="E6" i="4" s="1"/>
  <c r="F6" i="4" s="1"/>
  <c r="W7" i="3"/>
  <c r="X7" i="3" s="1"/>
  <c r="AC7" i="3" s="1"/>
  <c r="Q58" i="3"/>
  <c r="R58" i="3" s="1"/>
  <c r="L57" i="3"/>
  <c r="M57" i="3" s="1"/>
  <c r="AB57" i="3" s="1"/>
  <c r="L65" i="3"/>
  <c r="M65" i="3" s="1"/>
  <c r="AB65" i="3" s="1"/>
  <c r="H40" i="3"/>
  <c r="I40" i="3" s="1"/>
  <c r="AA40" i="3" s="1"/>
  <c r="AD40" i="3" s="1"/>
  <c r="L20" i="3"/>
  <c r="M20" i="3" s="1"/>
  <c r="AB20" i="3" s="1"/>
  <c r="Y47" i="3"/>
  <c r="C46" i="4" s="1"/>
  <c r="E46" i="4" s="1"/>
  <c r="F46" i="4" s="1"/>
  <c r="W47" i="3"/>
  <c r="X47" i="3" s="1"/>
  <c r="AC47" i="3" s="1"/>
  <c r="Q63" i="3"/>
  <c r="R63" i="3" s="1"/>
  <c r="H59" i="3"/>
  <c r="I59" i="3" s="1"/>
  <c r="W66" i="3"/>
  <c r="X66" i="3" s="1"/>
  <c r="AC66" i="3" s="1"/>
  <c r="Y66" i="3"/>
  <c r="C65" i="4" s="1"/>
  <c r="E65" i="4" s="1"/>
  <c r="F65" i="4" s="1"/>
  <c r="H32" i="3"/>
  <c r="I32" i="3" s="1"/>
  <c r="L15" i="3"/>
  <c r="M15" i="3" s="1"/>
  <c r="AB15" i="3" s="1"/>
  <c r="W14" i="3"/>
  <c r="X14" i="3" s="1"/>
  <c r="AC14" i="3" s="1"/>
  <c r="Y14" i="3"/>
  <c r="C13" i="4" s="1"/>
  <c r="E13" i="4" s="1"/>
  <c r="F13" i="4" s="1"/>
  <c r="Q74" i="3"/>
  <c r="R74" i="3" s="1"/>
  <c r="Q66" i="3"/>
  <c r="R66" i="3" s="1"/>
  <c r="Q30" i="3"/>
  <c r="R30" i="3" s="1"/>
  <c r="L39" i="3"/>
  <c r="M39" i="3" s="1"/>
  <c r="AB39" i="3" s="1"/>
  <c r="Q20" i="3"/>
  <c r="R20" i="3" s="1"/>
  <c r="Q26" i="3"/>
  <c r="R26" i="3" s="1"/>
  <c r="Q86" i="3"/>
  <c r="R86" i="3" s="1"/>
  <c r="AA86" i="3" s="1"/>
  <c r="AD86" i="3" s="1"/>
  <c r="H44" i="3"/>
  <c r="I44" i="3" s="1"/>
  <c r="W59" i="3"/>
  <c r="X59" i="3" s="1"/>
  <c r="AC59" i="3" s="1"/>
  <c r="Y59" i="3"/>
  <c r="C58" i="4" s="1"/>
  <c r="E58" i="4" s="1"/>
  <c r="F58" i="4" s="1"/>
  <c r="Y75" i="3"/>
  <c r="C74" i="4" s="1"/>
  <c r="E74" i="4" s="1"/>
  <c r="F74" i="4" s="1"/>
  <c r="W75" i="3"/>
  <c r="X75" i="3" s="1"/>
  <c r="AC75" i="3" s="1"/>
  <c r="Q42" i="3"/>
  <c r="R42" i="3" s="1"/>
  <c r="AA42" i="3" s="1"/>
  <c r="Q67" i="3"/>
  <c r="R67" i="3" s="1"/>
  <c r="H51" i="3"/>
  <c r="I51" i="3" s="1"/>
  <c r="H34" i="3"/>
  <c r="I34" i="3" s="1"/>
  <c r="W71" i="3"/>
  <c r="X71" i="3" s="1"/>
  <c r="AC71" i="3" s="1"/>
  <c r="Y71" i="3"/>
  <c r="C70" i="4" s="1"/>
  <c r="E70" i="4" s="1"/>
  <c r="F70" i="4" s="1"/>
  <c r="L22" i="3"/>
  <c r="M22" i="3" s="1"/>
  <c r="AB22" i="3" s="1"/>
  <c r="L21" i="3"/>
  <c r="M21" i="3" s="1"/>
  <c r="AB21" i="3" s="1"/>
  <c r="H58" i="3"/>
  <c r="I58" i="3" s="1"/>
  <c r="AA58" i="3" s="1"/>
  <c r="L75" i="3"/>
  <c r="M75" i="3" s="1"/>
  <c r="AB75" i="3" s="1"/>
  <c r="Q62" i="3"/>
  <c r="R62" i="3" s="1"/>
  <c r="AA62" i="3" s="1"/>
  <c r="W44" i="3"/>
  <c r="X44" i="3" s="1"/>
  <c r="AC44" i="3" s="1"/>
  <c r="Y44" i="3"/>
  <c r="C43" i="4" s="1"/>
  <c r="E43" i="4" s="1"/>
  <c r="F43" i="4" s="1"/>
  <c r="Y52" i="3"/>
  <c r="C51" i="4" s="1"/>
  <c r="E51" i="4" s="1"/>
  <c r="F51" i="4" s="1"/>
  <c r="W52" i="3"/>
  <c r="X52" i="3" s="1"/>
  <c r="AC52" i="3" s="1"/>
  <c r="Q35" i="3"/>
  <c r="R35" i="3" s="1"/>
  <c r="Q29" i="3"/>
  <c r="R29" i="3" s="1"/>
  <c r="AA29" i="3" s="1"/>
  <c r="AE29" i="3" s="1"/>
  <c r="Q17" i="3"/>
  <c r="R17" i="3" s="1"/>
  <c r="Y19" i="3"/>
  <c r="C18" i="4" s="1"/>
  <c r="E18" i="4" s="1"/>
  <c r="F18" i="4" s="1"/>
  <c r="W19" i="3"/>
  <c r="X19" i="3" s="1"/>
  <c r="AC19" i="3" s="1"/>
  <c r="Q72" i="3"/>
  <c r="R72" i="3" s="1"/>
  <c r="AA72" i="3" s="1"/>
  <c r="Q64" i="3"/>
  <c r="R64" i="3" s="1"/>
  <c r="Q51" i="3"/>
  <c r="R51" i="3" s="1"/>
  <c r="Y57" i="3"/>
  <c r="C56" i="4" s="1"/>
  <c r="E56" i="4" s="1"/>
  <c r="F56" i="4" s="1"/>
  <c r="W57" i="3"/>
  <c r="X57" i="3" s="1"/>
  <c r="AC57" i="3" s="1"/>
  <c r="H37" i="3"/>
  <c r="I37" i="3" s="1"/>
  <c r="W74" i="3"/>
  <c r="X74" i="3" s="1"/>
  <c r="AC74" i="3" s="1"/>
  <c r="Y74" i="3"/>
  <c r="C73" i="4" s="1"/>
  <c r="E73" i="4" s="1"/>
  <c r="F73" i="4" s="1"/>
  <c r="H47" i="3"/>
  <c r="I47" i="3" s="1"/>
  <c r="AA47" i="3" s="1"/>
  <c r="AE47" i="3" s="1"/>
  <c r="L68" i="3"/>
  <c r="M68" i="3" s="1"/>
  <c r="AB68" i="3" s="1"/>
  <c r="L52" i="3"/>
  <c r="M52" i="3" s="1"/>
  <c r="AB52" i="3" s="1"/>
  <c r="H81" i="3"/>
  <c r="H73" i="3"/>
  <c r="I73" i="3" s="1"/>
  <c r="H8" i="3"/>
  <c r="I8" i="3" s="1"/>
  <c r="Y26" i="3"/>
  <c r="C25" i="4" s="1"/>
  <c r="E25" i="4" s="1"/>
  <c r="F25" i="4" s="1"/>
  <c r="W26" i="3"/>
  <c r="X26" i="3" s="1"/>
  <c r="AC26" i="3" s="1"/>
  <c r="Q12" i="3"/>
  <c r="R12" i="3" s="1"/>
  <c r="H12" i="3"/>
  <c r="I12" i="3" s="1"/>
  <c r="Y20" i="3"/>
  <c r="C19" i="4" s="1"/>
  <c r="E19" i="4" s="1"/>
  <c r="F19" i="4" s="1"/>
  <c r="W20" i="3"/>
  <c r="X20" i="3" s="1"/>
  <c r="AC20" i="3" s="1"/>
  <c r="L26" i="3"/>
  <c r="M26" i="3" s="1"/>
  <c r="AB26" i="3" s="1"/>
  <c r="H64" i="3"/>
  <c r="L79" i="3"/>
  <c r="M79" i="3" s="1"/>
  <c r="AB79" i="3" s="1"/>
  <c r="Y45" i="3"/>
  <c r="C44" i="4" s="1"/>
  <c r="E44" i="4" s="1"/>
  <c r="F44" i="4" s="1"/>
  <c r="W45" i="3"/>
  <c r="X45" i="3" s="1"/>
  <c r="AC45" i="3" s="1"/>
  <c r="L31" i="3"/>
  <c r="M31" i="3" s="1"/>
  <c r="AB31" i="3" s="1"/>
  <c r="H84" i="3"/>
  <c r="W43" i="3"/>
  <c r="X43" i="3" s="1"/>
  <c r="AC43" i="3" s="1"/>
  <c r="Y43" i="3"/>
  <c r="C42" i="4" s="1"/>
  <c r="E42" i="4" s="1"/>
  <c r="F42" i="4" s="1"/>
  <c r="H87" i="3"/>
  <c r="I87" i="3" s="1"/>
  <c r="H28" i="3"/>
  <c r="I28" i="3" s="1"/>
  <c r="L37" i="3"/>
  <c r="M37" i="3" s="1"/>
  <c r="AB37" i="3" s="1"/>
  <c r="L74" i="3"/>
  <c r="M74" i="3" s="1"/>
  <c r="AB74" i="3" s="1"/>
  <c r="W84" i="3"/>
  <c r="X84" i="3" s="1"/>
  <c r="AC84" i="3" s="1"/>
  <c r="Y84" i="3"/>
  <c r="C83" i="4" s="1"/>
  <c r="E83" i="4" s="1"/>
  <c r="F83" i="4" s="1"/>
  <c r="H88" i="3"/>
  <c r="I88" i="3" s="1"/>
  <c r="L28" i="3"/>
  <c r="M28" i="3" s="1"/>
  <c r="AB28" i="3" s="1"/>
  <c r="Q44" i="3"/>
  <c r="R44" i="3" s="1"/>
  <c r="Y73" i="3"/>
  <c r="C72" i="4" s="1"/>
  <c r="E72" i="4" s="1"/>
  <c r="F72" i="4" s="1"/>
  <c r="W73" i="3"/>
  <c r="X73" i="3" s="1"/>
  <c r="AC73" i="3" s="1"/>
  <c r="H20" i="3"/>
  <c r="I20" i="3" s="1"/>
  <c r="Q16" i="3"/>
  <c r="R16" i="3" s="1"/>
  <c r="W89" i="3"/>
  <c r="X89" i="3" s="1"/>
  <c r="AC89" i="3" s="1"/>
  <c r="Y89" i="3"/>
  <c r="C88" i="4" s="1"/>
  <c r="E88" i="4" s="1"/>
  <c r="F88" i="4" s="1"/>
  <c r="H69" i="3"/>
  <c r="I69" i="3" s="1"/>
  <c r="AA69" i="3" s="1"/>
  <c r="AD69" i="3" s="1"/>
  <c r="L12" i="3"/>
  <c r="M12" i="3" s="1"/>
  <c r="AB12" i="3" s="1"/>
  <c r="Y64" i="3"/>
  <c r="C63" i="4" s="1"/>
  <c r="E63" i="4" s="1"/>
  <c r="F63" i="4" s="1"/>
  <c r="W64" i="3"/>
  <c r="X64" i="3" s="1"/>
  <c r="AC64" i="3" s="1"/>
  <c r="L25" i="3"/>
  <c r="M25" i="3" s="1"/>
  <c r="AB25" i="3" s="1"/>
  <c r="Y58" i="3"/>
  <c r="C57" i="4" s="1"/>
  <c r="E57" i="4" s="1"/>
  <c r="F57" i="4" s="1"/>
  <c r="W58" i="3"/>
  <c r="X58" i="3" s="1"/>
  <c r="AC58" i="3" s="1"/>
  <c r="H17" i="3"/>
  <c r="I17" i="3" s="1"/>
  <c r="Y63" i="3"/>
  <c r="C62" i="4" s="1"/>
  <c r="E62" i="4" s="1"/>
  <c r="F62" i="4" s="1"/>
  <c r="W63" i="3"/>
  <c r="X63" i="3" s="1"/>
  <c r="AC63" i="3" s="1"/>
  <c r="Q68" i="3"/>
  <c r="R68" i="3" s="1"/>
  <c r="AA68" i="3" s="1"/>
  <c r="AD68" i="3" s="1"/>
  <c r="H11" i="3"/>
  <c r="I11" i="3" s="1"/>
  <c r="Q27" i="3"/>
  <c r="R27" i="3" s="1"/>
  <c r="H46" i="3"/>
  <c r="I46" i="3" s="1"/>
  <c r="Q24" i="3"/>
  <c r="R24" i="3" s="1"/>
  <c r="L64" i="3"/>
  <c r="M64" i="3" s="1"/>
  <c r="AB64" i="3" s="1"/>
  <c r="W72" i="3"/>
  <c r="X72" i="3" s="1"/>
  <c r="AC72" i="3" s="1"/>
  <c r="Y72" i="3"/>
  <c r="C71" i="4" s="1"/>
  <c r="E71" i="4" s="1"/>
  <c r="F71" i="4" s="1"/>
  <c r="Q84" i="3"/>
  <c r="R84" i="3" s="1"/>
  <c r="H79" i="3"/>
  <c r="I79" i="3" s="1"/>
  <c r="W28" i="3"/>
  <c r="X28" i="3" s="1"/>
  <c r="AC28" i="3" s="1"/>
  <c r="Y28" i="3"/>
  <c r="C27" i="4" s="1"/>
  <c r="E27" i="4" s="1"/>
  <c r="F27" i="4" s="1"/>
  <c r="Q8" i="3"/>
  <c r="R8" i="3" s="1"/>
  <c r="L45" i="3"/>
  <c r="M45" i="3" s="1"/>
  <c r="AB45" i="3" s="1"/>
  <c r="L55" i="3"/>
  <c r="M55" i="3" s="1"/>
  <c r="AB55" i="3" s="1"/>
  <c r="Q60" i="3"/>
  <c r="R60" i="3" s="1"/>
  <c r="H33" i="3"/>
  <c r="I33" i="3" s="1"/>
  <c r="AA33" i="3" s="1"/>
  <c r="H10" i="3"/>
  <c r="I10" i="3" s="1"/>
  <c r="Q76" i="3"/>
  <c r="R76" i="3" s="1"/>
  <c r="AA76" i="3" s="1"/>
  <c r="H70" i="3"/>
  <c r="Q31" i="3"/>
  <c r="R31" i="3" s="1"/>
  <c r="H43" i="3"/>
  <c r="Z43" i="3" s="1"/>
  <c r="H35" i="3"/>
  <c r="I35" i="3" s="1"/>
  <c r="AA35" i="3" s="1"/>
  <c r="AE35" i="3" s="1"/>
  <c r="L7" i="3"/>
  <c r="M7" i="3" s="1"/>
  <c r="AB7" i="3" s="1"/>
  <c r="L18" i="3"/>
  <c r="M18" i="3" s="1"/>
  <c r="AB18" i="3" s="1"/>
  <c r="H24" i="3"/>
  <c r="I24" i="3" s="1"/>
  <c r="L66" i="3"/>
  <c r="M66" i="3" s="1"/>
  <c r="AB66" i="3" s="1"/>
  <c r="Y54" i="3"/>
  <c r="C53" i="4" s="1"/>
  <c r="E53" i="4" s="1"/>
  <c r="F53" i="4" s="1"/>
  <c r="W54" i="3"/>
  <c r="X54" i="3" s="1"/>
  <c r="AC54" i="3" s="1"/>
  <c r="W76" i="3"/>
  <c r="X76" i="3" s="1"/>
  <c r="AC76" i="3" s="1"/>
  <c r="Y76" i="3"/>
  <c r="C75" i="4" s="1"/>
  <c r="E75" i="4" s="1"/>
  <c r="F75" i="4" s="1"/>
  <c r="L29" i="3"/>
  <c r="M29" i="3" s="1"/>
  <c r="AB29" i="3" s="1"/>
  <c r="K91" i="3"/>
  <c r="L5" i="3"/>
  <c r="M5" i="3" s="1"/>
  <c r="AB5" i="3" s="1"/>
  <c r="H53" i="3"/>
  <c r="I53" i="3" s="1"/>
  <c r="L48" i="3"/>
  <c r="M48" i="3" s="1"/>
  <c r="AB48" i="3" s="1"/>
  <c r="L32" i="3"/>
  <c r="M32" i="3" s="1"/>
  <c r="AB32" i="3" s="1"/>
  <c r="Q49" i="3"/>
  <c r="R49" i="3" s="1"/>
  <c r="Y18" i="3"/>
  <c r="C17" i="4" s="1"/>
  <c r="E17" i="4" s="1"/>
  <c r="F17" i="4" s="1"/>
  <c r="W18" i="3"/>
  <c r="X18" i="3" s="1"/>
  <c r="AC18" i="3" s="1"/>
  <c r="Q22" i="3"/>
  <c r="R22" i="3" s="1"/>
  <c r="AA22" i="3" s="1"/>
  <c r="AD22" i="3" s="1"/>
  <c r="L61" i="3"/>
  <c r="M61" i="3" s="1"/>
  <c r="AB61" i="3" s="1"/>
  <c r="Q77" i="3"/>
  <c r="R77" i="3" s="1"/>
  <c r="W70" i="3"/>
  <c r="X70" i="3" s="1"/>
  <c r="AC70" i="3" s="1"/>
  <c r="Y70" i="3"/>
  <c r="C69" i="4" s="1"/>
  <c r="E69" i="4" s="1"/>
  <c r="F69" i="4" s="1"/>
  <c r="W62" i="3"/>
  <c r="X62" i="3" s="1"/>
  <c r="AC62" i="3" s="1"/>
  <c r="Y62" i="3"/>
  <c r="C61" i="4" s="1"/>
  <c r="E61" i="4" s="1"/>
  <c r="F61" i="4" s="1"/>
  <c r="W15" i="3"/>
  <c r="X15" i="3" s="1"/>
  <c r="AC15" i="3" s="1"/>
  <c r="Y15" i="3"/>
  <c r="C14" i="4" s="1"/>
  <c r="E14" i="4" s="1"/>
  <c r="F14" i="4" s="1"/>
  <c r="Q28" i="3"/>
  <c r="R28" i="3" s="1"/>
  <c r="L33" i="3"/>
  <c r="M33" i="3" s="1"/>
  <c r="AB33" i="3" s="1"/>
  <c r="H23" i="3"/>
  <c r="I23" i="3" s="1"/>
  <c r="H89" i="3"/>
  <c r="Z89" i="3" s="1"/>
  <c r="Q65" i="3"/>
  <c r="R65" i="3" s="1"/>
  <c r="W53" i="3"/>
  <c r="X53" i="3" s="1"/>
  <c r="AC53" i="3" s="1"/>
  <c r="Y53" i="3"/>
  <c r="C52" i="4" s="1"/>
  <c r="E52" i="4" s="1"/>
  <c r="F52" i="4" s="1"/>
  <c r="W42" i="3"/>
  <c r="X42" i="3" s="1"/>
  <c r="AC42" i="3" s="1"/>
  <c r="Y42" i="3"/>
  <c r="C41" i="4" s="1"/>
  <c r="E41" i="4" s="1"/>
  <c r="F41" i="4" s="1"/>
  <c r="H74" i="3"/>
  <c r="I74" i="3" s="1"/>
  <c r="AA74" i="3" s="1"/>
  <c r="AD74" i="3" s="1"/>
  <c r="I81" i="3"/>
  <c r="AA81" i="3" s="1"/>
  <c r="AD81" i="3" s="1"/>
  <c r="Z9" i="3"/>
  <c r="I43" i="3"/>
  <c r="AA43" i="3" s="1"/>
  <c r="AD43" i="3" s="1"/>
  <c r="I60" i="3"/>
  <c r="AA60" i="3" s="1"/>
  <c r="AD60" i="3" s="1"/>
  <c r="Z26" i="3"/>
  <c r="I26" i="3"/>
  <c r="AA26" i="3" s="1"/>
  <c r="Z77" i="3"/>
  <c r="I63" i="3"/>
  <c r="Z37" i="3"/>
  <c r="Z70" i="3"/>
  <c r="Z88" i="3"/>
  <c r="Z64" i="3"/>
  <c r="Z17" i="3"/>
  <c r="I71" i="3"/>
  <c r="Z18" i="3"/>
  <c r="Z87" i="3"/>
  <c r="Z5" i="3"/>
  <c r="Z55" i="3"/>
  <c r="I64" i="3"/>
  <c r="AA64" i="3" s="1"/>
  <c r="AD64" i="3" s="1"/>
  <c r="Z36" i="3"/>
  <c r="Z58" i="3"/>
  <c r="Z49" i="3"/>
  <c r="Z52" i="3"/>
  <c r="Z13" i="3"/>
  <c r="Z57" i="3"/>
  <c r="I27" i="3"/>
  <c r="I77" i="3"/>
  <c r="Z45" i="3"/>
  <c r="Z25" i="3"/>
  <c r="Z66" i="3"/>
  <c r="Z67" i="3"/>
  <c r="Z21" i="3"/>
  <c r="I70" i="3"/>
  <c r="AA70" i="3" s="1"/>
  <c r="AD70" i="3" s="1"/>
  <c r="Z53" i="3"/>
  <c r="Z46" i="3"/>
  <c r="Z86" i="3"/>
  <c r="Z65" i="3"/>
  <c r="I7" i="3"/>
  <c r="AA7" i="3" s="1"/>
  <c r="AD7" i="3" s="1"/>
  <c r="Z59" i="3"/>
  <c r="Z50" i="3"/>
  <c r="Z16" i="3"/>
  <c r="Z23" i="3"/>
  <c r="Z24" i="3"/>
  <c r="Z78" i="3"/>
  <c r="Z34" i="3"/>
  <c r="Z44" i="3"/>
  <c r="Z79" i="3"/>
  <c r="Z82" i="3"/>
  <c r="Z54" i="3"/>
  <c r="Z74" i="3"/>
  <c r="Z48" i="3"/>
  <c r="Z19" i="3"/>
  <c r="Z41" i="3"/>
  <c r="F4" i="4"/>
  <c r="AA15" i="3"/>
  <c r="AD15" i="3" s="1"/>
  <c r="AA17" i="3"/>
  <c r="AA51" i="3"/>
  <c r="AA82" i="3"/>
  <c r="AD82" i="3" s="1"/>
  <c r="AA41" i="3"/>
  <c r="AD41" i="3" s="1"/>
  <c r="AA23" i="3"/>
  <c r="AA78" i="3"/>
  <c r="AD78" i="3" s="1"/>
  <c r="AA34" i="3"/>
  <c r="AD34" i="3" s="1"/>
  <c r="AA30" i="3"/>
  <c r="AE30" i="3" s="1"/>
  <c r="AA18" i="3"/>
  <c r="AA54" i="3"/>
  <c r="AA48" i="3"/>
  <c r="AA20" i="3"/>
  <c r="AD20" i="3" s="1"/>
  <c r="AA25" i="3"/>
  <c r="AA88" i="3"/>
  <c r="AA44" i="3"/>
  <c r="AD44" i="3" s="1"/>
  <c r="AA75" i="3"/>
  <c r="AD75" i="3" s="1"/>
  <c r="AA55" i="3"/>
  <c r="AA80" i="3"/>
  <c r="AD80" i="3" s="1"/>
  <c r="AA87" i="3"/>
  <c r="AD87" i="3" s="1"/>
  <c r="AA46" i="3"/>
  <c r="AD46" i="3" s="1"/>
  <c r="AA67" i="3"/>
  <c r="AD67" i="3" s="1"/>
  <c r="AA8" i="3"/>
  <c r="AD8" i="3" s="1"/>
  <c r="AA16" i="3"/>
  <c r="AA13" i="3"/>
  <c r="AA59" i="3"/>
  <c r="AA6" i="3"/>
  <c r="AA57" i="3"/>
  <c r="AD57" i="3" s="1"/>
  <c r="AA79" i="3"/>
  <c r="AD79" i="3" s="1"/>
  <c r="AA9" i="3"/>
  <c r="AA49" i="3"/>
  <c r="AD49" i="3" s="1"/>
  <c r="AA52" i="3"/>
  <c r="AA11" i="3"/>
  <c r="AE11" i="3" s="1"/>
  <c r="AA65" i="3"/>
  <c r="AD65" i="3" s="1"/>
  <c r="AA19" i="3"/>
  <c r="AD76" i="3" l="1"/>
  <c r="AA12" i="3"/>
  <c r="AE12" i="3" s="1"/>
  <c r="AD42" i="3"/>
  <c r="AD39" i="3"/>
  <c r="AA38" i="3"/>
  <c r="AE38" i="3" s="1"/>
  <c r="AA83" i="3"/>
  <c r="AD83" i="3" s="1"/>
  <c r="AA56" i="3"/>
  <c r="AD56" i="3" s="1"/>
  <c r="Z38" i="3"/>
  <c r="Z76" i="3"/>
  <c r="Z47" i="3"/>
  <c r="AA77" i="3"/>
  <c r="AD77" i="3" s="1"/>
  <c r="Z20" i="3"/>
  <c r="AA63" i="3"/>
  <c r="AD63" i="3" s="1"/>
  <c r="AD33" i="3"/>
  <c r="R91" i="3"/>
  <c r="AA24" i="3"/>
  <c r="AD24" i="3" s="1"/>
  <c r="AA28" i="3"/>
  <c r="AE28" i="3" s="1"/>
  <c r="AD62" i="3"/>
  <c r="Z27" i="3"/>
  <c r="AD5" i="3"/>
  <c r="AA32" i="3"/>
  <c r="AD32" i="3" s="1"/>
  <c r="AA66" i="3"/>
  <c r="AD66" i="3" s="1"/>
  <c r="AA73" i="3"/>
  <c r="AD73" i="3" s="1"/>
  <c r="AA21" i="3"/>
  <c r="AD21" i="3" s="1"/>
  <c r="AA53" i="3"/>
  <c r="AD53" i="3" s="1"/>
  <c r="AA31" i="3"/>
  <c r="AD31" i="3" s="1"/>
  <c r="AC91" i="3"/>
  <c r="AB91" i="3"/>
  <c r="AA61" i="3"/>
  <c r="AE61" i="3" s="1"/>
  <c r="AA36" i="3"/>
  <c r="AD36" i="3" s="1"/>
  <c r="AA10" i="3"/>
  <c r="AD10" i="3" s="1"/>
  <c r="AA90" i="3"/>
  <c r="AD90" i="3" s="1"/>
  <c r="AA37" i="3"/>
  <c r="AE37" i="3" s="1"/>
  <c r="AA50" i="3"/>
  <c r="AD50" i="3" s="1"/>
  <c r="AD6" i="3"/>
  <c r="AD59" i="3"/>
  <c r="AD25" i="3"/>
  <c r="Z12" i="3"/>
  <c r="Z29" i="3"/>
  <c r="H91" i="3"/>
  <c r="AA27" i="3"/>
  <c r="AD27" i="3" s="1"/>
  <c r="Z35" i="3"/>
  <c r="Z72" i="3"/>
  <c r="Z80" i="3"/>
  <c r="Z63" i="3"/>
  <c r="Z40" i="3"/>
  <c r="AD55" i="3"/>
  <c r="AD48" i="3"/>
  <c r="AD23" i="3"/>
  <c r="AD51" i="3"/>
  <c r="Z39" i="3"/>
  <c r="AD26" i="3"/>
  <c r="AD19" i="3"/>
  <c r="AD54" i="3"/>
  <c r="E90" i="4"/>
  <c r="X91" i="3"/>
  <c r="Z90" i="3"/>
  <c r="Z83" i="3"/>
  <c r="Z31" i="3"/>
  <c r="Z42" i="3"/>
  <c r="Z28" i="3"/>
  <c r="C90" i="4"/>
  <c r="Z10" i="3"/>
  <c r="Z11" i="3"/>
  <c r="Z62" i="3"/>
  <c r="Z8" i="3"/>
  <c r="AA71" i="3"/>
  <c r="AD71" i="3" s="1"/>
  <c r="Z32" i="3"/>
  <c r="AD13" i="3"/>
  <c r="AD18" i="3"/>
  <c r="AD58" i="3"/>
  <c r="AD17" i="3"/>
  <c r="Q91" i="3"/>
  <c r="M91" i="3"/>
  <c r="Z51" i="3"/>
  <c r="W91" i="3"/>
  <c r="Z15" i="3"/>
  <c r="Z33" i="3"/>
  <c r="Z61" i="3"/>
  <c r="Z30" i="3"/>
  <c r="Z69" i="3"/>
  <c r="AD52" i="3"/>
  <c r="AD72" i="3"/>
  <c r="AD16" i="3"/>
  <c r="AD88" i="3"/>
  <c r="Z22" i="3"/>
  <c r="Y91" i="3"/>
  <c r="L91" i="3"/>
  <c r="Z68" i="3"/>
  <c r="Z6" i="3"/>
  <c r="Z56" i="3"/>
  <c r="Z71" i="3"/>
  <c r="Z73" i="3"/>
  <c r="Z75" i="3"/>
  <c r="I14" i="3"/>
  <c r="AA14" i="3" s="1"/>
  <c r="AD14" i="3" s="1"/>
  <c r="Z81" i="3"/>
  <c r="I84" i="3"/>
  <c r="AA84" i="3" s="1"/>
  <c r="AD84" i="3" s="1"/>
  <c r="Z84" i="3"/>
  <c r="I89" i="3"/>
  <c r="AA89" i="3" s="1"/>
  <c r="AD89" i="3" s="1"/>
  <c r="Z60" i="3"/>
  <c r="I85" i="3"/>
  <c r="AA85" i="3" s="1"/>
  <c r="AE85" i="3" s="1"/>
  <c r="Z85" i="3"/>
  <c r="AE22" i="3"/>
  <c r="AE51" i="3"/>
  <c r="AE55" i="3"/>
  <c r="AE20" i="3"/>
  <c r="AE8" i="3"/>
  <c r="AE18" i="3"/>
  <c r="AE41" i="3"/>
  <c r="AE58" i="3"/>
  <c r="AE73" i="3"/>
  <c r="AE17" i="3"/>
  <c r="AE79" i="3"/>
  <c r="AE19" i="3"/>
  <c r="AE49" i="3"/>
  <c r="AE67" i="3"/>
  <c r="AE52" i="3"/>
  <c r="AE59" i="3"/>
  <c r="AE70" i="3"/>
  <c r="AE57" i="3"/>
  <c r="AE46" i="3"/>
  <c r="AE88" i="3"/>
  <c r="AE6" i="3"/>
  <c r="AE74" i="3"/>
  <c r="AE56" i="3"/>
  <c r="AE13" i="3"/>
  <c r="AE32" i="3"/>
  <c r="AE68" i="3"/>
  <c r="AE34" i="3"/>
  <c r="AE64" i="3"/>
  <c r="AE15" i="3"/>
  <c r="AE81" i="3"/>
  <c r="AE84" i="3"/>
  <c r="AE90" i="3"/>
  <c r="AE16" i="3"/>
  <c r="AE62" i="3"/>
  <c r="AE27" i="3"/>
  <c r="AE25" i="3"/>
  <c r="AE7" i="3"/>
  <c r="AE60" i="3"/>
  <c r="AE44" i="3"/>
  <c r="AE48" i="3"/>
  <c r="AE86" i="3"/>
  <c r="AE78" i="3"/>
  <c r="AE24" i="3"/>
  <c r="AE69" i="3"/>
  <c r="AE31" i="3"/>
  <c r="AE63" i="3"/>
  <c r="AE53" i="3"/>
  <c r="AE36" i="3"/>
  <c r="AE54" i="3"/>
  <c r="AE43" i="3"/>
  <c r="AE50" i="3"/>
  <c r="AE40" i="3"/>
  <c r="AE82" i="3"/>
  <c r="AE76" i="3"/>
  <c r="AE23" i="3"/>
  <c r="AE83" i="3"/>
  <c r="AE26" i="3"/>
  <c r="AE65" i="3"/>
  <c r="AE87" i="3"/>
  <c r="AE42" i="3"/>
  <c r="AE33" i="3"/>
  <c r="AE10" i="3"/>
  <c r="AE75" i="3"/>
  <c r="AE66" i="3"/>
  <c r="AE80" i="3"/>
  <c r="AE39" i="3"/>
  <c r="AE72" i="3"/>
  <c r="AD38" i="3"/>
  <c r="AD11" i="3"/>
  <c r="AD9" i="3"/>
  <c r="AD47" i="3"/>
  <c r="AD37" i="3"/>
  <c r="AD61" i="3"/>
  <c r="AD29" i="3"/>
  <c r="AD45" i="3"/>
  <c r="AD35" i="3"/>
  <c r="AD28" i="3"/>
  <c r="AD30" i="3"/>
  <c r="AD12" i="3"/>
  <c r="AE9" i="3"/>
  <c r="AE5" i="3"/>
  <c r="AE21" i="3" l="1"/>
  <c r="AE71" i="3"/>
  <c r="AE77" i="3"/>
  <c r="AE14" i="3"/>
  <c r="Z91" i="3"/>
  <c r="AA91" i="3"/>
  <c r="AE89" i="3"/>
  <c r="AD85" i="3"/>
  <c r="AD91" i="3" s="1"/>
  <c r="I91" i="3"/>
  <c r="AE9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伊藤 敬之</author>
  </authors>
  <commentList>
    <comment ref="A2" authorId="0" shapeId="0" xr:uid="{00000000-0006-0000-0000-000001000000}">
      <text>
        <r>
          <rPr>
            <b/>
            <sz val="9"/>
            <color indexed="81"/>
            <rFont val="MS P ゴシック"/>
            <family val="3"/>
            <charset val="128"/>
          </rPr>
          <t>対象月の一日の日付を入力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伊藤 敬之</author>
  </authors>
  <commentList>
    <comment ref="B1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対象月の一日の日付を入力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伊藤 敬之</author>
  </authors>
  <commentList>
    <comment ref="T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要手入力</t>
        </r>
      </text>
    </comment>
  </commentList>
</comments>
</file>

<file path=xl/sharedStrings.xml><?xml version="1.0" encoding="utf-8"?>
<sst xmlns="http://schemas.openxmlformats.org/spreadsheetml/2006/main" count="620" uniqueCount="397">
  <si>
    <t>氏名</t>
    <rPh sb="0" eb="2">
      <t>シメイ</t>
    </rPh>
    <phoneticPr fontId="1"/>
  </si>
  <si>
    <t>勤務日</t>
    <rPh sb="0" eb="2">
      <t>キンム</t>
    </rPh>
    <rPh sb="2" eb="3">
      <t>ビ</t>
    </rPh>
    <phoneticPr fontId="1"/>
  </si>
  <si>
    <t>準夜帯</t>
    <rPh sb="0" eb="1">
      <t>ジュン</t>
    </rPh>
    <rPh sb="1" eb="2">
      <t>ヨル</t>
    </rPh>
    <rPh sb="2" eb="3">
      <t>オビ</t>
    </rPh>
    <phoneticPr fontId="1"/>
  </si>
  <si>
    <t>日勤帯</t>
    <rPh sb="0" eb="3">
      <t>ニッキンタイ</t>
    </rPh>
    <phoneticPr fontId="1"/>
  </si>
  <si>
    <t>出勤</t>
    <rPh sb="0" eb="2">
      <t>シュッキン</t>
    </rPh>
    <phoneticPr fontId="1"/>
  </si>
  <si>
    <t>退勤</t>
    <rPh sb="0" eb="2">
      <t>タイキン</t>
    </rPh>
    <phoneticPr fontId="1"/>
  </si>
  <si>
    <t>休憩</t>
    <rPh sb="0" eb="2">
      <t>キュウケイ</t>
    </rPh>
    <phoneticPr fontId="1"/>
  </si>
  <si>
    <t>有給休暇</t>
    <rPh sb="0" eb="2">
      <t>ユウキュウ</t>
    </rPh>
    <rPh sb="2" eb="4">
      <t>キュウカ</t>
    </rPh>
    <phoneticPr fontId="1"/>
  </si>
  <si>
    <t>例月区分</t>
    <rPh sb="0" eb="2">
      <t>レイゲツ</t>
    </rPh>
    <rPh sb="2" eb="4">
      <t>クブン</t>
    </rPh>
    <phoneticPr fontId="1"/>
  </si>
  <si>
    <t>氏名</t>
    <phoneticPr fontId="1"/>
  </si>
  <si>
    <t>A区_出勤</t>
    <phoneticPr fontId="1"/>
  </si>
  <si>
    <t>A区_退勤</t>
    <phoneticPr fontId="1"/>
  </si>
  <si>
    <t>A区_休憩</t>
    <phoneticPr fontId="1"/>
  </si>
  <si>
    <t>B区_出勤</t>
    <phoneticPr fontId="1"/>
  </si>
  <si>
    <t>B区_退勤</t>
    <phoneticPr fontId="1"/>
  </si>
  <si>
    <t>B区_休憩</t>
    <phoneticPr fontId="1"/>
  </si>
  <si>
    <t>勤務日</t>
    <phoneticPr fontId="1"/>
  </si>
  <si>
    <t>実働時間</t>
    <rPh sb="0" eb="2">
      <t>ジツドウ</t>
    </rPh>
    <rPh sb="2" eb="4">
      <t>ジカン</t>
    </rPh>
    <phoneticPr fontId="1"/>
  </si>
  <si>
    <t>通常</t>
    <rPh sb="0" eb="2">
      <t>ツウジョウ</t>
    </rPh>
    <phoneticPr fontId="1"/>
  </si>
  <si>
    <t>深夜割増</t>
    <rPh sb="0" eb="2">
      <t>シンヤ</t>
    </rPh>
    <rPh sb="2" eb="4">
      <t>ワリマシ</t>
    </rPh>
    <phoneticPr fontId="1"/>
  </si>
  <si>
    <t>有給休暇</t>
    <phoneticPr fontId="1"/>
  </si>
  <si>
    <t>準夜帯</t>
    <rPh sb="0" eb="1">
      <t>ジュン</t>
    </rPh>
    <rPh sb="1" eb="2">
      <t>ヤ</t>
    </rPh>
    <rPh sb="2" eb="3">
      <t>タイ</t>
    </rPh>
    <phoneticPr fontId="3"/>
  </si>
  <si>
    <t>日勤帯</t>
    <rPh sb="0" eb="2">
      <t>ニッキン</t>
    </rPh>
    <rPh sb="2" eb="3">
      <t>タイ</t>
    </rPh>
    <phoneticPr fontId="3"/>
  </si>
  <si>
    <t>受領印</t>
    <rPh sb="0" eb="3">
      <t>ジュリョウイン</t>
    </rPh>
    <phoneticPr fontId="3"/>
  </si>
  <si>
    <t>勤務
日数</t>
    <rPh sb="0" eb="2">
      <t>キンム</t>
    </rPh>
    <rPh sb="3" eb="5">
      <t>ニッスウ</t>
    </rPh>
    <phoneticPr fontId="3"/>
  </si>
  <si>
    <t>通常</t>
    <rPh sb="0" eb="2">
      <t>ツウジョウ</t>
    </rPh>
    <phoneticPr fontId="3"/>
  </si>
  <si>
    <t>深夜割増</t>
    <rPh sb="0" eb="2">
      <t>シンヤ</t>
    </rPh>
    <rPh sb="2" eb="4">
      <t>ワリマシ</t>
    </rPh>
    <phoneticPr fontId="3"/>
  </si>
  <si>
    <t>実働
時間</t>
    <rPh sb="0" eb="2">
      <t>ジツドウ</t>
    </rPh>
    <rPh sb="3" eb="5">
      <t>ジカン</t>
    </rPh>
    <phoneticPr fontId="3"/>
  </si>
  <si>
    <t>支給
時間</t>
    <rPh sb="0" eb="2">
      <t>シキュウ</t>
    </rPh>
    <rPh sb="3" eb="5">
      <t>ジカン</t>
    </rPh>
    <phoneticPr fontId="3"/>
  </si>
  <si>
    <t>支給額</t>
    <rPh sb="0" eb="3">
      <t>シキュウガク</t>
    </rPh>
    <phoneticPr fontId="3"/>
  </si>
  <si>
    <t>時給</t>
    <rPh sb="0" eb="2">
      <t>ジキュウ</t>
    </rPh>
    <phoneticPr fontId="3"/>
  </si>
  <si>
    <t>支給額</t>
    <rPh sb="0" eb="2">
      <t>シキュウ</t>
    </rPh>
    <rPh sb="2" eb="3">
      <t>ガク</t>
    </rPh>
    <phoneticPr fontId="3"/>
  </si>
  <si>
    <t>職種</t>
    <rPh sb="0" eb="2">
      <t>ショクシュ</t>
    </rPh>
    <phoneticPr fontId="1"/>
  </si>
  <si>
    <t>コード</t>
    <phoneticPr fontId="1"/>
  </si>
  <si>
    <t>職員番号</t>
    <rPh sb="0" eb="2">
      <t>ショクイン</t>
    </rPh>
    <rPh sb="2" eb="4">
      <t>バンゴウ</t>
    </rPh>
    <phoneticPr fontId="1"/>
  </si>
  <si>
    <t>管理区分</t>
    <rPh sb="0" eb="2">
      <t>カンリ</t>
    </rPh>
    <rPh sb="2" eb="4">
      <t>クブン</t>
    </rPh>
    <phoneticPr fontId="1"/>
  </si>
  <si>
    <t>医師</t>
    <rPh sb="0" eb="2">
      <t>イシ</t>
    </rPh>
    <phoneticPr fontId="3"/>
  </si>
  <si>
    <t>氏名</t>
    <rPh sb="0" eb="2">
      <t>シメイ</t>
    </rPh>
    <phoneticPr fontId="1"/>
  </si>
  <si>
    <t>台帳最下行</t>
    <rPh sb="0" eb="2">
      <t>ダイチョウ</t>
    </rPh>
    <rPh sb="2" eb="4">
      <t>サイカ</t>
    </rPh>
    <rPh sb="4" eb="5">
      <t>ギョウ</t>
    </rPh>
    <phoneticPr fontId="1"/>
  </si>
  <si>
    <t>A区実働（通常）</t>
    <rPh sb="1" eb="2">
      <t>ク</t>
    </rPh>
    <rPh sb="2" eb="4">
      <t>ジツドウ</t>
    </rPh>
    <rPh sb="5" eb="7">
      <t>ツウジョウ</t>
    </rPh>
    <phoneticPr fontId="1"/>
  </si>
  <si>
    <t>A区実働（深夜）</t>
    <rPh sb="1" eb="2">
      <t>ク</t>
    </rPh>
    <rPh sb="2" eb="4">
      <t>ジツドウ</t>
    </rPh>
    <rPh sb="5" eb="7">
      <t>シンヤ</t>
    </rPh>
    <phoneticPr fontId="1"/>
  </si>
  <si>
    <t>B区実働（通常）</t>
    <rPh sb="1" eb="2">
      <t>ク</t>
    </rPh>
    <rPh sb="2" eb="4">
      <t>ジツドウ</t>
    </rPh>
    <rPh sb="5" eb="7">
      <t>ツウジョウ</t>
    </rPh>
    <phoneticPr fontId="1"/>
  </si>
  <si>
    <t>列</t>
    <rPh sb="0" eb="1">
      <t>レツ</t>
    </rPh>
    <phoneticPr fontId="1"/>
  </si>
  <si>
    <t>範囲</t>
    <rPh sb="0" eb="2">
      <t>ハンイ</t>
    </rPh>
    <phoneticPr fontId="1"/>
  </si>
  <si>
    <t>項目</t>
    <rPh sb="0" eb="2">
      <t>コウモク</t>
    </rPh>
    <phoneticPr fontId="1"/>
  </si>
  <si>
    <t>例月区分</t>
    <rPh sb="0" eb="2">
      <t>レイゲツ</t>
    </rPh>
    <rPh sb="2" eb="4">
      <t>クブン</t>
    </rPh>
    <phoneticPr fontId="1"/>
  </si>
  <si>
    <t>集計対象月</t>
    <rPh sb="0" eb="2">
      <t>シュウケイ</t>
    </rPh>
    <rPh sb="2" eb="4">
      <t>タイショウ</t>
    </rPh>
    <rPh sb="4" eb="5">
      <t>ツキ</t>
    </rPh>
    <phoneticPr fontId="1"/>
  </si>
  <si>
    <t>合計</t>
    <rPh sb="0" eb="2">
      <t>ゴウケイ</t>
    </rPh>
    <phoneticPr fontId="1"/>
  </si>
  <si>
    <t>例月区分</t>
    <phoneticPr fontId="1"/>
  </si>
  <si>
    <t>A区実働（通常）</t>
    <phoneticPr fontId="1"/>
  </si>
  <si>
    <t>A区実働（深夜）</t>
    <phoneticPr fontId="1"/>
  </si>
  <si>
    <t>B区実働（通常）</t>
    <phoneticPr fontId="1"/>
  </si>
  <si>
    <t>-</t>
    <phoneticPr fontId="1"/>
  </si>
  <si>
    <t>コード</t>
  </si>
  <si>
    <t>医師氏名</t>
    <rPh sb="0" eb="2">
      <t>イシ</t>
    </rPh>
    <rPh sb="2" eb="4">
      <t>シメイ</t>
    </rPh>
    <phoneticPr fontId="3"/>
  </si>
  <si>
    <t>日数</t>
    <rPh sb="0" eb="2">
      <t>ニッスウ</t>
    </rPh>
    <phoneticPr fontId="3"/>
  </si>
  <si>
    <t>単価</t>
    <rPh sb="0" eb="2">
      <t>タンカ</t>
    </rPh>
    <phoneticPr fontId="3"/>
  </si>
  <si>
    <t>源泉税額</t>
    <rPh sb="0" eb="2">
      <t>ゲンセン</t>
    </rPh>
    <rPh sb="2" eb="4">
      <t>ゼイガク</t>
    </rPh>
    <phoneticPr fontId="3"/>
  </si>
  <si>
    <t>昼間</t>
    <rPh sb="0" eb="2">
      <t>ヒルマ</t>
    </rPh>
    <phoneticPr fontId="3"/>
  </si>
  <si>
    <t>夜間</t>
    <rPh sb="0" eb="2">
      <t>ヤカン</t>
    </rPh>
    <phoneticPr fontId="3"/>
  </si>
  <si>
    <t>合計</t>
    <rPh sb="0" eb="2">
      <t>ゴウケイ</t>
    </rPh>
    <phoneticPr fontId="3"/>
  </si>
  <si>
    <t>備考</t>
    <rPh sb="0" eb="2">
      <t>ビコウ</t>
    </rPh>
    <phoneticPr fontId="3"/>
  </si>
  <si>
    <t>謝礼額</t>
    <rPh sb="0" eb="2">
      <t>シャレイ</t>
    </rPh>
    <rPh sb="2" eb="3">
      <t>ガク</t>
    </rPh>
    <phoneticPr fontId="3"/>
  </si>
  <si>
    <t>医師氏名</t>
    <rPh sb="0" eb="2">
      <t>イシ</t>
    </rPh>
    <rPh sb="2" eb="4">
      <t>シメイ</t>
    </rPh>
    <phoneticPr fontId="1"/>
  </si>
  <si>
    <t>日数</t>
    <rPh sb="0" eb="2">
      <t>ニッスウ</t>
    </rPh>
    <phoneticPr fontId="1"/>
  </si>
  <si>
    <t>単価</t>
    <rPh sb="0" eb="2">
      <t>タンカ</t>
    </rPh>
    <phoneticPr fontId="1"/>
  </si>
  <si>
    <t>支給額</t>
    <rPh sb="0" eb="3">
      <t>シキュウガク</t>
    </rPh>
    <phoneticPr fontId="1"/>
  </si>
  <si>
    <t>受領印</t>
    <rPh sb="0" eb="3">
      <t>ジュリョウイン</t>
    </rPh>
    <phoneticPr fontId="1"/>
  </si>
  <si>
    <t>備考</t>
    <rPh sb="0" eb="1">
      <t>ソナエ</t>
    </rPh>
    <rPh sb="1" eb="2">
      <t>コウ</t>
    </rPh>
    <phoneticPr fontId="1"/>
  </si>
  <si>
    <t>特別日リスト</t>
    <rPh sb="0" eb="2">
      <t>トクベツ</t>
    </rPh>
    <rPh sb="2" eb="3">
      <t>ビ</t>
    </rPh>
    <phoneticPr fontId="1"/>
  </si>
  <si>
    <t>通勤手当</t>
    <rPh sb="0" eb="2">
      <t>ツウキン</t>
    </rPh>
    <rPh sb="2" eb="4">
      <t>テアテ</t>
    </rPh>
    <phoneticPr fontId="3"/>
  </si>
  <si>
    <t>-</t>
    <phoneticPr fontId="1"/>
  </si>
  <si>
    <t>有給</t>
    <rPh sb="0" eb="2">
      <t>ユウキュウ</t>
    </rPh>
    <phoneticPr fontId="1"/>
  </si>
  <si>
    <t>有給休暇</t>
    <rPh sb="0" eb="2">
      <t>ユウキュウ</t>
    </rPh>
    <rPh sb="2" eb="4">
      <t>キュウカ</t>
    </rPh>
    <phoneticPr fontId="3"/>
  </si>
  <si>
    <t>計</t>
    <rPh sb="0" eb="1">
      <t>ケイ</t>
    </rPh>
    <phoneticPr fontId="1"/>
  </si>
  <si>
    <t>深夜
割増</t>
    <rPh sb="0" eb="2">
      <t>シンヤ</t>
    </rPh>
    <rPh sb="3" eb="5">
      <t>ワリマシ</t>
    </rPh>
    <phoneticPr fontId="1"/>
  </si>
  <si>
    <t>通勤
手当</t>
    <rPh sb="0" eb="2">
      <t>ツウキン</t>
    </rPh>
    <rPh sb="3" eb="5">
      <t>テアテ</t>
    </rPh>
    <phoneticPr fontId="1"/>
  </si>
  <si>
    <t>通常</t>
    <rPh sb="0" eb="2">
      <t>ツウジョウ</t>
    </rPh>
    <phoneticPr fontId="1"/>
  </si>
  <si>
    <t>共通</t>
    <rPh sb="0" eb="2">
      <t>キョウツウ</t>
    </rPh>
    <phoneticPr fontId="1"/>
  </si>
  <si>
    <t>参考</t>
    <rPh sb="0" eb="2">
      <t>サンコウ</t>
    </rPh>
    <phoneticPr fontId="1"/>
  </si>
  <si>
    <t>フィルタ用</t>
    <rPh sb="4" eb="5">
      <t>ヨウ</t>
    </rPh>
    <phoneticPr fontId="1"/>
  </si>
  <si>
    <t>-</t>
    <phoneticPr fontId="1"/>
  </si>
  <si>
    <t>計</t>
    <rPh sb="0" eb="1">
      <t>ケイ</t>
    </rPh>
    <phoneticPr fontId="1"/>
  </si>
  <si>
    <t>合計</t>
    <rPh sb="0" eb="2">
      <t>ゴウケイ</t>
    </rPh>
    <phoneticPr fontId="1"/>
  </si>
  <si>
    <t>区分</t>
    <rPh sb="0" eb="2">
      <t>クブン</t>
    </rPh>
    <phoneticPr fontId="1"/>
  </si>
  <si>
    <t>夜</t>
    <rPh sb="0" eb="1">
      <t>ヨル</t>
    </rPh>
    <phoneticPr fontId="1"/>
  </si>
  <si>
    <t>昼</t>
    <rPh sb="0" eb="1">
      <t>ヒル</t>
    </rPh>
    <phoneticPr fontId="1"/>
  </si>
  <si>
    <t>出勤</t>
    <rPh sb="0" eb="2">
      <t>シュッキン</t>
    </rPh>
    <phoneticPr fontId="1"/>
  </si>
  <si>
    <t>退勤</t>
    <rPh sb="0" eb="2">
      <t>タイキン</t>
    </rPh>
    <phoneticPr fontId="1"/>
  </si>
  <si>
    <t>標準
シフト
設定</t>
    <rPh sb="0" eb="2">
      <t>ヒョウジュン</t>
    </rPh>
    <rPh sb="7" eb="9">
      <t>セッテイ</t>
    </rPh>
    <phoneticPr fontId="1"/>
  </si>
  <si>
    <t>休憩</t>
    <rPh sb="0" eb="2">
      <t>キュウケイ</t>
    </rPh>
    <phoneticPr fontId="1"/>
  </si>
  <si>
    <t>サンプル　太郎1</t>
    <phoneticPr fontId="1"/>
  </si>
  <si>
    <t>サンプル　太郎2</t>
    <phoneticPr fontId="1"/>
  </si>
  <si>
    <t>サンプル　太郎3</t>
    <phoneticPr fontId="1"/>
  </si>
  <si>
    <t>サンプル　太郎4</t>
    <phoneticPr fontId="1"/>
  </si>
  <si>
    <t>サンプル　太郎5</t>
    <phoneticPr fontId="1"/>
  </si>
  <si>
    <t>サンプル　太郎6</t>
    <phoneticPr fontId="1"/>
  </si>
  <si>
    <t>サンプル　太郎7</t>
    <phoneticPr fontId="1"/>
  </si>
  <si>
    <t>サンプル　太郎8</t>
    <phoneticPr fontId="1"/>
  </si>
  <si>
    <t>サンプル　太郎9</t>
    <phoneticPr fontId="1"/>
  </si>
  <si>
    <t>サンプル　太郎10</t>
    <phoneticPr fontId="1"/>
  </si>
  <si>
    <t>サンプル　太郎11</t>
    <phoneticPr fontId="1"/>
  </si>
  <si>
    <t>サンプル　太郎12</t>
    <phoneticPr fontId="1"/>
  </si>
  <si>
    <t>サンプル　太郎13</t>
    <phoneticPr fontId="1"/>
  </si>
  <si>
    <t>サンプル　太郎14</t>
    <phoneticPr fontId="1"/>
  </si>
  <si>
    <t>サンプル　太郎15</t>
    <phoneticPr fontId="1"/>
  </si>
  <si>
    <t>サンプル　太郎16</t>
    <phoneticPr fontId="1"/>
  </si>
  <si>
    <t>サンプル　太郎17</t>
    <phoneticPr fontId="1"/>
  </si>
  <si>
    <t>サンプル　太郎18</t>
    <phoneticPr fontId="1"/>
  </si>
  <si>
    <t>サンプル　太郎19</t>
    <phoneticPr fontId="1"/>
  </si>
  <si>
    <t>サンプル　太郎20</t>
    <phoneticPr fontId="1"/>
  </si>
  <si>
    <t>サンプル　太郎21</t>
    <phoneticPr fontId="1"/>
  </si>
  <si>
    <t>サンプル　太郎22</t>
    <phoneticPr fontId="1"/>
  </si>
  <si>
    <t>サンプル　太郎23</t>
    <phoneticPr fontId="1"/>
  </si>
  <si>
    <t>サンプル　太郎24</t>
    <phoneticPr fontId="1"/>
  </si>
  <si>
    <t>サンプル　太郎25</t>
    <phoneticPr fontId="1"/>
  </si>
  <si>
    <t>サンプル　太郎26</t>
    <phoneticPr fontId="1"/>
  </si>
  <si>
    <t>サンプル　太郎27</t>
    <phoneticPr fontId="1"/>
  </si>
  <si>
    <t>サンプル　太郎28</t>
    <phoneticPr fontId="1"/>
  </si>
  <si>
    <t>サンプル　太郎29</t>
    <phoneticPr fontId="1"/>
  </si>
  <si>
    <t>サンプル　太郎30</t>
    <phoneticPr fontId="1"/>
  </si>
  <si>
    <t>サンプル　太郎31</t>
    <phoneticPr fontId="1"/>
  </si>
  <si>
    <t>サンプル　太郎1</t>
    <rPh sb="5" eb="7">
      <t>タロウ</t>
    </rPh>
    <phoneticPr fontId="1"/>
  </si>
  <si>
    <t>サンプル　太郎2</t>
    <rPh sb="5" eb="7">
      <t>タロウ</t>
    </rPh>
    <phoneticPr fontId="1"/>
  </si>
  <si>
    <t>サンプル　太郎3</t>
    <rPh sb="5" eb="7">
      <t>タロウ</t>
    </rPh>
    <phoneticPr fontId="1"/>
  </si>
  <si>
    <t>サンプル　太郎4</t>
    <rPh sb="5" eb="7">
      <t>タロウ</t>
    </rPh>
    <phoneticPr fontId="1"/>
  </si>
  <si>
    <t>サンプル　太郎5</t>
    <rPh sb="5" eb="7">
      <t>タロウ</t>
    </rPh>
    <phoneticPr fontId="1"/>
  </si>
  <si>
    <t>サンプル　太郎6</t>
    <rPh sb="5" eb="7">
      <t>タロウ</t>
    </rPh>
    <phoneticPr fontId="1"/>
  </si>
  <si>
    <t>サンプル　太郎7</t>
    <rPh sb="5" eb="7">
      <t>タロウ</t>
    </rPh>
    <phoneticPr fontId="1"/>
  </si>
  <si>
    <t>サンプル　太郎8</t>
    <rPh sb="5" eb="7">
      <t>タロウ</t>
    </rPh>
    <phoneticPr fontId="1"/>
  </si>
  <si>
    <t>サンプル　太郎9</t>
    <rPh sb="5" eb="7">
      <t>タロウ</t>
    </rPh>
    <phoneticPr fontId="1"/>
  </si>
  <si>
    <t>サンプル　太郎10</t>
    <rPh sb="5" eb="7">
      <t>タロウ</t>
    </rPh>
    <phoneticPr fontId="1"/>
  </si>
  <si>
    <t>サンプル　太郎11</t>
    <rPh sb="5" eb="7">
      <t>タロウ</t>
    </rPh>
    <phoneticPr fontId="1"/>
  </si>
  <si>
    <t>サンプル　太郎12</t>
    <rPh sb="5" eb="7">
      <t>タロウ</t>
    </rPh>
    <phoneticPr fontId="1"/>
  </si>
  <si>
    <t>サンプル　太郎13</t>
    <rPh sb="5" eb="7">
      <t>タロウ</t>
    </rPh>
    <phoneticPr fontId="1"/>
  </si>
  <si>
    <t>サンプル　太郎14</t>
    <rPh sb="5" eb="7">
      <t>タロウ</t>
    </rPh>
    <phoneticPr fontId="1"/>
  </si>
  <si>
    <t>サンプル　太郎15</t>
    <rPh sb="5" eb="7">
      <t>タロウ</t>
    </rPh>
    <phoneticPr fontId="1"/>
  </si>
  <si>
    <t>サンプル　太郎16</t>
    <rPh sb="5" eb="7">
      <t>タロウ</t>
    </rPh>
    <phoneticPr fontId="1"/>
  </si>
  <si>
    <t>サンプル　太郎17</t>
    <rPh sb="5" eb="7">
      <t>タロウ</t>
    </rPh>
    <phoneticPr fontId="1"/>
  </si>
  <si>
    <t>サンプル　太郎18</t>
    <rPh sb="5" eb="7">
      <t>タロウ</t>
    </rPh>
    <phoneticPr fontId="1"/>
  </si>
  <si>
    <t>サンプル　太郎19</t>
    <rPh sb="5" eb="7">
      <t>タロウ</t>
    </rPh>
    <phoneticPr fontId="1"/>
  </si>
  <si>
    <t>サンプル　太郎20</t>
    <rPh sb="5" eb="7">
      <t>タロウ</t>
    </rPh>
    <phoneticPr fontId="1"/>
  </si>
  <si>
    <t>サンプル　太郎21</t>
    <rPh sb="5" eb="7">
      <t>タロウ</t>
    </rPh>
    <phoneticPr fontId="1"/>
  </si>
  <si>
    <t>サンプル　太郎22</t>
    <rPh sb="5" eb="7">
      <t>タロウ</t>
    </rPh>
    <phoneticPr fontId="1"/>
  </si>
  <si>
    <t>サンプル　太郎23</t>
    <rPh sb="5" eb="7">
      <t>タロウ</t>
    </rPh>
    <phoneticPr fontId="1"/>
  </si>
  <si>
    <t>サンプル　太郎24</t>
    <rPh sb="5" eb="7">
      <t>タロウ</t>
    </rPh>
    <phoneticPr fontId="1"/>
  </si>
  <si>
    <t>サンプル　太郎25</t>
    <rPh sb="5" eb="7">
      <t>タロウ</t>
    </rPh>
    <phoneticPr fontId="1"/>
  </si>
  <si>
    <t>サンプル　太郎26</t>
    <rPh sb="5" eb="7">
      <t>タロウ</t>
    </rPh>
    <phoneticPr fontId="1"/>
  </si>
  <si>
    <t>サンプル　太郎27</t>
    <rPh sb="5" eb="7">
      <t>タロウ</t>
    </rPh>
    <phoneticPr fontId="1"/>
  </si>
  <si>
    <t>サンプル　太郎28</t>
    <rPh sb="5" eb="7">
      <t>タロウ</t>
    </rPh>
    <phoneticPr fontId="1"/>
  </si>
  <si>
    <t>サンプル　太郎29</t>
    <rPh sb="5" eb="7">
      <t>タロウ</t>
    </rPh>
    <phoneticPr fontId="1"/>
  </si>
  <si>
    <t>サンプル　太郎30</t>
    <rPh sb="5" eb="7">
      <t>タロウ</t>
    </rPh>
    <phoneticPr fontId="1"/>
  </si>
  <si>
    <t>サンプル　太郎31</t>
    <rPh sb="5" eb="7">
      <t>タロウ</t>
    </rPh>
    <phoneticPr fontId="1"/>
  </si>
  <si>
    <t>サンプル　太郎32</t>
    <rPh sb="5" eb="7">
      <t>タロウ</t>
    </rPh>
    <phoneticPr fontId="1"/>
  </si>
  <si>
    <t>サンプル　太郎33</t>
    <rPh sb="5" eb="7">
      <t>タロウ</t>
    </rPh>
    <phoneticPr fontId="1"/>
  </si>
  <si>
    <t>サンプル　太郎34</t>
    <rPh sb="5" eb="7">
      <t>タロウ</t>
    </rPh>
    <phoneticPr fontId="1"/>
  </si>
  <si>
    <t>サンプル　太郎35</t>
    <rPh sb="5" eb="7">
      <t>タロウ</t>
    </rPh>
    <phoneticPr fontId="1"/>
  </si>
  <si>
    <t>サンプル　太郎36</t>
    <rPh sb="5" eb="7">
      <t>タロウ</t>
    </rPh>
    <phoneticPr fontId="1"/>
  </si>
  <si>
    <t>サンプル　太郎37</t>
    <rPh sb="5" eb="7">
      <t>タロウ</t>
    </rPh>
    <phoneticPr fontId="1"/>
  </si>
  <si>
    <t>サンプル　太郎38</t>
    <rPh sb="5" eb="7">
      <t>タロウ</t>
    </rPh>
    <phoneticPr fontId="1"/>
  </si>
  <si>
    <t>サンプル　太郎39</t>
    <rPh sb="5" eb="7">
      <t>タロウ</t>
    </rPh>
    <phoneticPr fontId="1"/>
  </si>
  <si>
    <t>サンプル　太郎40</t>
    <rPh sb="5" eb="7">
      <t>タロウ</t>
    </rPh>
    <phoneticPr fontId="1"/>
  </si>
  <si>
    <t>サンプル　太郎41</t>
    <rPh sb="5" eb="7">
      <t>タロウ</t>
    </rPh>
    <phoneticPr fontId="1"/>
  </si>
  <si>
    <t>サンプル　太郎42</t>
    <rPh sb="5" eb="7">
      <t>タロウ</t>
    </rPh>
    <phoneticPr fontId="1"/>
  </si>
  <si>
    <t>サンプル　太郎43</t>
    <rPh sb="5" eb="7">
      <t>タロウ</t>
    </rPh>
    <phoneticPr fontId="1"/>
  </si>
  <si>
    <t>サンプル　太郎44</t>
    <rPh sb="5" eb="7">
      <t>タロウ</t>
    </rPh>
    <phoneticPr fontId="1"/>
  </si>
  <si>
    <t>サンプル　太郎45</t>
    <rPh sb="5" eb="7">
      <t>タロウ</t>
    </rPh>
    <phoneticPr fontId="1"/>
  </si>
  <si>
    <t>サンプル　太郎46</t>
    <rPh sb="5" eb="7">
      <t>タロウ</t>
    </rPh>
    <phoneticPr fontId="1"/>
  </si>
  <si>
    <t>サンプル　太郎47</t>
    <rPh sb="5" eb="7">
      <t>タロウ</t>
    </rPh>
    <phoneticPr fontId="1"/>
  </si>
  <si>
    <t>サンプル　太郎48</t>
    <rPh sb="5" eb="7">
      <t>タロウ</t>
    </rPh>
    <phoneticPr fontId="1"/>
  </si>
  <si>
    <t>サンプル　太郎49</t>
    <rPh sb="5" eb="7">
      <t>タロウ</t>
    </rPh>
    <phoneticPr fontId="1"/>
  </si>
  <si>
    <t>サンプル　太郎50</t>
    <rPh sb="5" eb="7">
      <t>タロウ</t>
    </rPh>
    <phoneticPr fontId="1"/>
  </si>
  <si>
    <t>サンプル　太郎51</t>
    <rPh sb="5" eb="7">
      <t>タロウ</t>
    </rPh>
    <phoneticPr fontId="1"/>
  </si>
  <si>
    <t>サンプル　太郎52</t>
    <rPh sb="5" eb="7">
      <t>タロウ</t>
    </rPh>
    <phoneticPr fontId="1"/>
  </si>
  <si>
    <t>サンプル　太郎53</t>
    <rPh sb="5" eb="7">
      <t>タロウ</t>
    </rPh>
    <phoneticPr fontId="1"/>
  </si>
  <si>
    <t>サンプル　太郎54</t>
    <rPh sb="5" eb="7">
      <t>タロウ</t>
    </rPh>
    <phoneticPr fontId="1"/>
  </si>
  <si>
    <t>サンプル　太郎55</t>
    <rPh sb="5" eb="7">
      <t>タロウ</t>
    </rPh>
    <phoneticPr fontId="1"/>
  </si>
  <si>
    <t>サンプル　太郎56</t>
    <rPh sb="5" eb="7">
      <t>タロウ</t>
    </rPh>
    <phoneticPr fontId="1"/>
  </si>
  <si>
    <t>サンプル　太郎57</t>
    <rPh sb="5" eb="7">
      <t>タロウ</t>
    </rPh>
    <phoneticPr fontId="1"/>
  </si>
  <si>
    <t>サンプル　太郎58</t>
    <rPh sb="5" eb="7">
      <t>タロウ</t>
    </rPh>
    <phoneticPr fontId="1"/>
  </si>
  <si>
    <t>サンプル　太郎59</t>
    <rPh sb="5" eb="7">
      <t>タロウ</t>
    </rPh>
    <phoneticPr fontId="1"/>
  </si>
  <si>
    <t>サンプル　太郎60</t>
    <rPh sb="5" eb="7">
      <t>タロウ</t>
    </rPh>
    <phoneticPr fontId="1"/>
  </si>
  <si>
    <t>サンプル　太郎61</t>
    <rPh sb="5" eb="7">
      <t>タロウ</t>
    </rPh>
    <phoneticPr fontId="1"/>
  </si>
  <si>
    <t>サンプル　太郎62</t>
    <rPh sb="5" eb="7">
      <t>タロウ</t>
    </rPh>
    <phoneticPr fontId="1"/>
  </si>
  <si>
    <t>サンプル　太郎63</t>
    <rPh sb="5" eb="7">
      <t>タロウ</t>
    </rPh>
    <phoneticPr fontId="1"/>
  </si>
  <si>
    <t>サンプル　太郎64</t>
    <rPh sb="5" eb="7">
      <t>タロウ</t>
    </rPh>
    <phoneticPr fontId="1"/>
  </si>
  <si>
    <t>サンプル　太郎65</t>
    <rPh sb="5" eb="7">
      <t>タロウ</t>
    </rPh>
    <phoneticPr fontId="1"/>
  </si>
  <si>
    <t>サンプル　太郎66</t>
    <rPh sb="5" eb="7">
      <t>タロウ</t>
    </rPh>
    <phoneticPr fontId="1"/>
  </si>
  <si>
    <t>サンプル　太郎67</t>
    <rPh sb="5" eb="7">
      <t>タロウ</t>
    </rPh>
    <phoneticPr fontId="1"/>
  </si>
  <si>
    <t>サンプル　太郎68</t>
    <rPh sb="5" eb="7">
      <t>タロウ</t>
    </rPh>
    <phoneticPr fontId="1"/>
  </si>
  <si>
    <t>サンプル　太郎69</t>
    <rPh sb="5" eb="7">
      <t>タロウ</t>
    </rPh>
    <phoneticPr fontId="1"/>
  </si>
  <si>
    <t>サンプル　太郎70</t>
    <rPh sb="5" eb="7">
      <t>タロウ</t>
    </rPh>
    <phoneticPr fontId="1"/>
  </si>
  <si>
    <t>サンプル　太郎71</t>
    <rPh sb="5" eb="7">
      <t>タロウ</t>
    </rPh>
    <phoneticPr fontId="1"/>
  </si>
  <si>
    <t>サンプル　太郎72</t>
    <rPh sb="5" eb="7">
      <t>タロウ</t>
    </rPh>
    <phoneticPr fontId="1"/>
  </si>
  <si>
    <t>サンプル　太郎73</t>
    <rPh sb="5" eb="7">
      <t>タロウ</t>
    </rPh>
    <phoneticPr fontId="1"/>
  </si>
  <si>
    <t>サンプル　太郎74</t>
    <rPh sb="5" eb="7">
      <t>タロウ</t>
    </rPh>
    <phoneticPr fontId="1"/>
  </si>
  <si>
    <t>サンプル　太郎75</t>
    <rPh sb="5" eb="7">
      <t>タロウ</t>
    </rPh>
    <phoneticPr fontId="1"/>
  </si>
  <si>
    <t>サンプル　太郎76</t>
    <rPh sb="5" eb="7">
      <t>タロウ</t>
    </rPh>
    <phoneticPr fontId="1"/>
  </si>
  <si>
    <t>サンプル　太郎77</t>
    <rPh sb="5" eb="7">
      <t>タロウ</t>
    </rPh>
    <phoneticPr fontId="1"/>
  </si>
  <si>
    <t>サンプル　太郎78</t>
    <rPh sb="5" eb="7">
      <t>タロウ</t>
    </rPh>
    <phoneticPr fontId="1"/>
  </si>
  <si>
    <t>サンプル　太郎79</t>
    <rPh sb="5" eb="7">
      <t>タロウ</t>
    </rPh>
    <phoneticPr fontId="1"/>
  </si>
  <si>
    <t>サンプル　太郎80</t>
    <rPh sb="5" eb="7">
      <t>タロウ</t>
    </rPh>
    <phoneticPr fontId="1"/>
  </si>
  <si>
    <t>サンプル　太郎81</t>
    <rPh sb="5" eb="7">
      <t>タロウ</t>
    </rPh>
    <phoneticPr fontId="1"/>
  </si>
  <si>
    <t>サンプル　太郎82</t>
    <rPh sb="5" eb="7">
      <t>タロウ</t>
    </rPh>
    <phoneticPr fontId="1"/>
  </si>
  <si>
    <t>サンプル　太郎83</t>
    <rPh sb="5" eb="7">
      <t>タロウ</t>
    </rPh>
    <phoneticPr fontId="1"/>
  </si>
  <si>
    <t>サンプル　太郎84</t>
    <rPh sb="5" eb="7">
      <t>タロウ</t>
    </rPh>
    <phoneticPr fontId="1"/>
  </si>
  <si>
    <t>サンプル　太郎85</t>
    <rPh sb="5" eb="7">
      <t>タロウ</t>
    </rPh>
    <phoneticPr fontId="1"/>
  </si>
  <si>
    <t>サンプル　太郎86</t>
    <rPh sb="5" eb="7">
      <t>タロウ</t>
    </rPh>
    <phoneticPr fontId="1"/>
  </si>
  <si>
    <t>000001</t>
    <phoneticPr fontId="1"/>
  </si>
  <si>
    <t>P000001</t>
    <phoneticPr fontId="1"/>
  </si>
  <si>
    <t>000002</t>
  </si>
  <si>
    <t>P000002</t>
  </si>
  <si>
    <t>000003</t>
  </si>
  <si>
    <t>P000003</t>
  </si>
  <si>
    <t>000004</t>
  </si>
  <si>
    <t>P000004</t>
  </si>
  <si>
    <t>000005</t>
  </si>
  <si>
    <t>P000005</t>
  </si>
  <si>
    <t>000006</t>
  </si>
  <si>
    <t>P000006</t>
  </si>
  <si>
    <t>000007</t>
  </si>
  <si>
    <t>P000007</t>
  </si>
  <si>
    <t>000008</t>
  </si>
  <si>
    <t>P000008</t>
  </si>
  <si>
    <t>000009</t>
  </si>
  <si>
    <t>P000009</t>
  </si>
  <si>
    <t>000010</t>
  </si>
  <si>
    <t>P000010</t>
  </si>
  <si>
    <t>000011</t>
  </si>
  <si>
    <t>P000011</t>
  </si>
  <si>
    <t>000012</t>
  </si>
  <si>
    <t>P000012</t>
  </si>
  <si>
    <t>000013</t>
  </si>
  <si>
    <t>P000013</t>
  </si>
  <si>
    <t>000014</t>
  </si>
  <si>
    <t>P000014</t>
  </si>
  <si>
    <t>000015</t>
  </si>
  <si>
    <t>P000015</t>
  </si>
  <si>
    <t>000016</t>
  </si>
  <si>
    <t>P000016</t>
  </si>
  <si>
    <t>000017</t>
  </si>
  <si>
    <t>P000017</t>
  </si>
  <si>
    <t>000018</t>
  </si>
  <si>
    <t>P000018</t>
  </si>
  <si>
    <t>000019</t>
  </si>
  <si>
    <t>P000019</t>
  </si>
  <si>
    <t>000020</t>
  </si>
  <si>
    <t>P000020</t>
  </si>
  <si>
    <t>000021</t>
  </si>
  <si>
    <t>P000021</t>
  </si>
  <si>
    <t>000022</t>
  </si>
  <si>
    <t>P000022</t>
  </si>
  <si>
    <t>000023</t>
  </si>
  <si>
    <t>P000023</t>
  </si>
  <si>
    <t>000024</t>
  </si>
  <si>
    <t>P000024</t>
  </si>
  <si>
    <t>000025</t>
  </si>
  <si>
    <t>P000025</t>
  </si>
  <si>
    <t>000026</t>
  </si>
  <si>
    <t>P000026</t>
  </si>
  <si>
    <t>000027</t>
  </si>
  <si>
    <t>P000027</t>
  </si>
  <si>
    <t>000028</t>
  </si>
  <si>
    <t>P000028</t>
  </si>
  <si>
    <t>000029</t>
  </si>
  <si>
    <t>P000029</t>
  </si>
  <si>
    <t>000030</t>
  </si>
  <si>
    <t>P000030</t>
  </si>
  <si>
    <t>000031</t>
  </si>
  <si>
    <t>P000031</t>
  </si>
  <si>
    <t>000032</t>
  </si>
  <si>
    <t>P000032</t>
  </si>
  <si>
    <t>000033</t>
  </si>
  <si>
    <t>P000033</t>
  </si>
  <si>
    <t>000034</t>
  </si>
  <si>
    <t>P000034</t>
  </si>
  <si>
    <t>000035</t>
  </si>
  <si>
    <t>P000035</t>
  </si>
  <si>
    <t>000036</t>
  </si>
  <si>
    <t>P000036</t>
  </si>
  <si>
    <t>000037</t>
  </si>
  <si>
    <t>P000037</t>
  </si>
  <si>
    <t>000038</t>
  </si>
  <si>
    <t>P000038</t>
  </si>
  <si>
    <t>000039</t>
  </si>
  <si>
    <t>P000039</t>
  </si>
  <si>
    <t>000040</t>
  </si>
  <si>
    <t>P000040</t>
  </si>
  <si>
    <t>000041</t>
  </si>
  <si>
    <t>P000041</t>
  </si>
  <si>
    <t>000042</t>
  </si>
  <si>
    <t>P000042</t>
  </si>
  <si>
    <t>000043</t>
  </si>
  <si>
    <t>P000043</t>
  </si>
  <si>
    <t>000044</t>
  </si>
  <si>
    <t>P000044</t>
  </si>
  <si>
    <t>000045</t>
  </si>
  <si>
    <t>P000045</t>
  </si>
  <si>
    <t>000046</t>
  </si>
  <si>
    <t>P000046</t>
  </si>
  <si>
    <t>000047</t>
  </si>
  <si>
    <t>P000047</t>
  </si>
  <si>
    <t>000048</t>
  </si>
  <si>
    <t>P000048</t>
  </si>
  <si>
    <t>000049</t>
  </si>
  <si>
    <t>P000049</t>
  </si>
  <si>
    <t>000050</t>
  </si>
  <si>
    <t>P000050</t>
  </si>
  <si>
    <t>000051</t>
  </si>
  <si>
    <t>P000051</t>
  </si>
  <si>
    <t>000052</t>
  </si>
  <si>
    <t>P000052</t>
  </si>
  <si>
    <t>000053</t>
  </si>
  <si>
    <t>P000053</t>
  </si>
  <si>
    <t>000054</t>
  </si>
  <si>
    <t>P000054</t>
  </si>
  <si>
    <t>000055</t>
  </si>
  <si>
    <t>P000055</t>
  </si>
  <si>
    <t>000056</t>
  </si>
  <si>
    <t>P000056</t>
  </si>
  <si>
    <t>000057</t>
  </si>
  <si>
    <t>P000057</t>
  </si>
  <si>
    <t>000058</t>
  </si>
  <si>
    <t>P000058</t>
  </si>
  <si>
    <t>000059</t>
  </si>
  <si>
    <t>P000059</t>
  </si>
  <si>
    <t>000060</t>
  </si>
  <si>
    <t>P000060</t>
  </si>
  <si>
    <t>000061</t>
  </si>
  <si>
    <t>P000061</t>
  </si>
  <si>
    <t>000062</t>
  </si>
  <si>
    <t>P000062</t>
  </si>
  <si>
    <t>000063</t>
  </si>
  <si>
    <t>P000063</t>
  </si>
  <si>
    <t>000064</t>
  </si>
  <si>
    <t>P000064</t>
  </si>
  <si>
    <t>000065</t>
  </si>
  <si>
    <t>P000065</t>
  </si>
  <si>
    <t>000066</t>
  </si>
  <si>
    <t>P000066</t>
  </si>
  <si>
    <t>000067</t>
  </si>
  <si>
    <t>P000067</t>
  </si>
  <si>
    <t>000068</t>
  </si>
  <si>
    <t>P000068</t>
  </si>
  <si>
    <t>000069</t>
  </si>
  <si>
    <t>P000069</t>
  </si>
  <si>
    <t>000070</t>
  </si>
  <si>
    <t>P000070</t>
  </si>
  <si>
    <t>000071</t>
  </si>
  <si>
    <t>P000071</t>
  </si>
  <si>
    <t>000072</t>
  </si>
  <si>
    <t>P000072</t>
  </si>
  <si>
    <t>000073</t>
  </si>
  <si>
    <t>P000073</t>
  </si>
  <si>
    <t>000074</t>
  </si>
  <si>
    <t>P000074</t>
  </si>
  <si>
    <t>000075</t>
  </si>
  <si>
    <t>P000075</t>
  </si>
  <si>
    <t>000076</t>
  </si>
  <si>
    <t>P000076</t>
  </si>
  <si>
    <t>000077</t>
  </si>
  <si>
    <t>P000077</t>
  </si>
  <si>
    <t>000078</t>
  </si>
  <si>
    <t>P000078</t>
  </si>
  <si>
    <t>000079</t>
  </si>
  <si>
    <t>P000079</t>
  </si>
  <si>
    <t>000080</t>
  </si>
  <si>
    <t>P000080</t>
  </si>
  <si>
    <t>000081</t>
  </si>
  <si>
    <t>P000081</t>
  </si>
  <si>
    <t>000082</t>
  </si>
  <si>
    <t>P000082</t>
  </si>
  <si>
    <t>000083</t>
  </si>
  <si>
    <t>P000083</t>
  </si>
  <si>
    <t>000084</t>
  </si>
  <si>
    <t>P000084</t>
  </si>
  <si>
    <t>000085</t>
  </si>
  <si>
    <t>P000085</t>
  </si>
  <si>
    <t>000086</t>
  </si>
  <si>
    <t>P000086</t>
  </si>
  <si>
    <t>勤務日：29</t>
  </si>
  <si>
    <t>勤務日：16</t>
    <phoneticPr fontId="1"/>
  </si>
  <si>
    <t>勤務日：26</t>
    <phoneticPr fontId="1"/>
  </si>
  <si>
    <t>勤務日：10,17,24,30</t>
    <phoneticPr fontId="1"/>
  </si>
  <si>
    <t>勤務日：2,30</t>
    <phoneticPr fontId="1"/>
  </si>
  <si>
    <t>勤務日：13,14,28</t>
    <phoneticPr fontId="1"/>
  </si>
  <si>
    <t>勤務日：23</t>
    <phoneticPr fontId="1"/>
  </si>
  <si>
    <t>勤務日：19,23</t>
    <phoneticPr fontId="1"/>
  </si>
  <si>
    <t>勤務日：21</t>
    <phoneticPr fontId="1"/>
  </si>
  <si>
    <t>勤務日：29</t>
    <phoneticPr fontId="1"/>
  </si>
  <si>
    <t>勤務日：1,2,4,11,18,25</t>
    <phoneticPr fontId="1"/>
  </si>
  <si>
    <t>勤務日：7,12,29</t>
    <phoneticPr fontId="1"/>
  </si>
  <si>
    <t>勤務日：3,6,15,30</t>
    <phoneticPr fontId="1"/>
  </si>
  <si>
    <t>勤務日：22,29</t>
    <phoneticPr fontId="1"/>
  </si>
  <si>
    <t>勤務日：9,20,27</t>
    <phoneticPr fontId="1"/>
  </si>
  <si>
    <t>勤務日：8</t>
    <phoneticPr fontId="1"/>
  </si>
  <si>
    <t>勤務日：9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</si>
</sst>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m&quot;月&quot;dd&quot;日(&quot;aaa&quot;)&quot;"/>
    <numFmt numFmtId="177" formatCode="h:mm;@"/>
    <numFmt numFmtId="178" formatCode="[$-411]ge\.mm\.dd;@"/>
    <numFmt numFmtId="179" formatCode="ge\.m"/>
    <numFmt numFmtId="180" formatCode="#,##0_ "/>
    <numFmt numFmtId="181" formatCode="[h]:mm;@"/>
    <numFmt numFmtId="182" formatCode="#,##0_);[Red]\(#,##0\)"/>
    <numFmt numFmtId="183" formatCode="yyyy/mm/dd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77">
    <xf numFmtId="0" fontId="0" fillId="0" borderId="0" xfId="0">
      <alignment vertical="center"/>
    </xf>
    <xf numFmtId="0" fontId="0" fillId="0" borderId="1" xfId="0" applyBorder="1">
      <alignment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7" fontId="0" fillId="0" borderId="10" xfId="0" applyNumberFormat="1" applyBorder="1" applyAlignment="1" applyProtection="1">
      <alignment horizontal="center" vertical="center"/>
      <protection locked="0"/>
    </xf>
    <xf numFmtId="177" fontId="0" fillId="0" borderId="16" xfId="0" applyNumberFormat="1" applyBorder="1" applyAlignment="1" applyProtection="1">
      <alignment horizontal="center" vertical="center"/>
      <protection locked="0"/>
    </xf>
    <xf numFmtId="177" fontId="0" fillId="0" borderId="17" xfId="0" applyNumberFormat="1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2" borderId="19" xfId="0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56" fontId="0" fillId="0" borderId="0" xfId="0" applyNumberFormat="1" applyAlignment="1">
      <alignment horizontal="center" vertical="center"/>
    </xf>
    <xf numFmtId="177" fontId="0" fillId="4" borderId="22" xfId="0" applyNumberFormat="1" applyFill="1" applyBorder="1" applyAlignment="1">
      <alignment horizontal="center" vertical="center"/>
    </xf>
    <xf numFmtId="177" fontId="0" fillId="3" borderId="7" xfId="0" applyNumberFormat="1" applyFill="1" applyBorder="1" applyAlignment="1">
      <alignment horizontal="center" vertical="center"/>
    </xf>
    <xf numFmtId="177" fontId="0" fillId="4" borderId="23" xfId="0" applyNumberFormat="1" applyFill="1" applyBorder="1" applyAlignment="1">
      <alignment horizontal="center" vertical="center"/>
    </xf>
    <xf numFmtId="176" fontId="3" fillId="0" borderId="15" xfId="0" applyNumberFormat="1" applyFont="1" applyBorder="1">
      <alignment vertical="center"/>
    </xf>
    <xf numFmtId="177" fontId="0" fillId="3" borderId="17" xfId="0" applyNumberFormat="1" applyFill="1" applyBorder="1" applyAlignment="1">
      <alignment horizontal="center" vertical="center"/>
    </xf>
    <xf numFmtId="177" fontId="0" fillId="4" borderId="24" xfId="0" applyNumberFormat="1" applyFill="1" applyBorder="1" applyAlignment="1">
      <alignment horizontal="center" vertical="center"/>
    </xf>
    <xf numFmtId="176" fontId="0" fillId="0" borderId="13" xfId="0" applyNumberFormat="1" applyBorder="1">
      <alignment vertical="center"/>
    </xf>
    <xf numFmtId="177" fontId="0" fillId="3" borderId="1" xfId="0" applyNumberFormat="1" applyFill="1" applyBorder="1" applyAlignment="1">
      <alignment horizontal="center" vertical="center"/>
    </xf>
    <xf numFmtId="56" fontId="0" fillId="0" borderId="0" xfId="0" applyNumberFormat="1">
      <alignment vertical="center"/>
    </xf>
    <xf numFmtId="0" fontId="0" fillId="0" borderId="1" xfId="0" applyBorder="1" applyAlignment="1">
      <alignment horizontal="left" vertical="center" shrinkToFit="1"/>
    </xf>
    <xf numFmtId="179" fontId="0" fillId="0" borderId="20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180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181" fontId="0" fillId="0" borderId="0" xfId="0" applyNumberFormat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82" fontId="0" fillId="0" borderId="0" xfId="0" applyNumberFormat="1">
      <alignment vertical="center"/>
    </xf>
    <xf numFmtId="182" fontId="0" fillId="0" borderId="1" xfId="0" applyNumberFormat="1" applyBorder="1">
      <alignment vertical="center"/>
    </xf>
    <xf numFmtId="180" fontId="0" fillId="3" borderId="1" xfId="0" applyNumberFormat="1" applyFill="1" applyBorder="1" applyAlignment="1">
      <alignment horizontal="center" vertical="center"/>
    </xf>
    <xf numFmtId="181" fontId="0" fillId="3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left" vertical="center" shrinkToFit="1"/>
    </xf>
    <xf numFmtId="0" fontId="0" fillId="9" borderId="1" xfId="0" applyFill="1" applyBorder="1" applyAlignment="1">
      <alignment horizontal="center" vertical="center"/>
    </xf>
    <xf numFmtId="179" fontId="0" fillId="12" borderId="1" xfId="0" applyNumberFormat="1" applyFill="1" applyBorder="1" applyAlignment="1">
      <alignment horizontal="center" vertical="center"/>
    </xf>
    <xf numFmtId="180" fontId="0" fillId="7" borderId="1" xfId="0" applyNumberFormat="1" applyFill="1" applyBorder="1" applyAlignment="1">
      <alignment horizontal="right" vertical="center"/>
    </xf>
    <xf numFmtId="180" fontId="0" fillId="6" borderId="1" xfId="0" applyNumberFormat="1" applyFill="1" applyBorder="1" applyAlignment="1">
      <alignment horizontal="right" vertical="center"/>
    </xf>
    <xf numFmtId="179" fontId="0" fillId="9" borderId="1" xfId="0" applyNumberFormat="1" applyFill="1" applyBorder="1" applyAlignment="1">
      <alignment horizontal="center" vertical="center"/>
    </xf>
    <xf numFmtId="177" fontId="0" fillId="12" borderId="1" xfId="0" applyNumberFormat="1" applyFill="1" applyBorder="1" applyAlignment="1">
      <alignment horizontal="center" vertical="center"/>
    </xf>
    <xf numFmtId="182" fontId="0" fillId="8" borderId="1" xfId="0" applyNumberFormat="1" applyFill="1" applyBorder="1">
      <alignment vertical="center"/>
    </xf>
    <xf numFmtId="0" fontId="0" fillId="0" borderId="26" xfId="0" applyBorder="1" applyAlignment="1">
      <alignment horizontal="center" vertical="center"/>
    </xf>
    <xf numFmtId="180" fontId="0" fillId="0" borderId="26" xfId="0" applyNumberFormat="1" applyBorder="1">
      <alignment vertical="center"/>
    </xf>
    <xf numFmtId="181" fontId="0" fillId="0" borderId="26" xfId="0" applyNumberFormat="1" applyBorder="1" applyAlignment="1">
      <alignment horizontal="center" vertical="center"/>
    </xf>
    <xf numFmtId="180" fontId="0" fillId="7" borderId="26" xfId="0" applyNumberFormat="1" applyFill="1" applyBorder="1" applyAlignment="1">
      <alignment horizontal="right" vertical="center"/>
    </xf>
    <xf numFmtId="180" fontId="0" fillId="6" borderId="26" xfId="0" applyNumberFormat="1" applyFill="1" applyBorder="1" applyAlignment="1">
      <alignment horizontal="right" vertical="center"/>
    </xf>
    <xf numFmtId="182" fontId="0" fillId="0" borderId="26" xfId="0" applyNumberFormat="1" applyBorder="1">
      <alignment vertical="center"/>
    </xf>
    <xf numFmtId="182" fontId="0" fillId="8" borderId="26" xfId="0" applyNumberFormat="1" applyFill="1" applyBorder="1">
      <alignment vertical="center"/>
    </xf>
    <xf numFmtId="0" fontId="0" fillId="10" borderId="29" xfId="0" applyFill="1" applyBorder="1" applyAlignment="1">
      <alignment horizontal="center" vertical="center"/>
    </xf>
    <xf numFmtId="180" fontId="0" fillId="10" borderId="29" xfId="0" applyNumberFormat="1" applyFill="1" applyBorder="1" applyAlignment="1">
      <alignment horizontal="center" vertical="center"/>
    </xf>
    <xf numFmtId="181" fontId="0" fillId="10" borderId="29" xfId="0" applyNumberFormat="1" applyFill="1" applyBorder="1" applyAlignment="1">
      <alignment horizontal="center" vertical="center"/>
    </xf>
    <xf numFmtId="180" fontId="0" fillId="10" borderId="29" xfId="0" applyNumberFormat="1" applyFill="1" applyBorder="1" applyAlignment="1">
      <alignment horizontal="right" vertical="center"/>
    </xf>
    <xf numFmtId="182" fontId="0" fillId="10" borderId="29" xfId="0" applyNumberFormat="1" applyFill="1" applyBorder="1">
      <alignment vertical="center"/>
    </xf>
    <xf numFmtId="49" fontId="5" fillId="0" borderId="0" xfId="0" applyNumberFormat="1" applyFont="1" applyAlignment="1">
      <alignment horizontal="left" vertical="center" indent="1"/>
    </xf>
    <xf numFmtId="180" fontId="0" fillId="0" borderId="1" xfId="0" applyNumberForma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3" xfId="0" applyNumberFormat="1" applyBorder="1" applyAlignment="1">
      <alignment horizontal="center" vertical="center"/>
    </xf>
    <xf numFmtId="183" fontId="0" fillId="0" borderId="14" xfId="0" applyNumberFormat="1" applyBorder="1" applyAlignment="1">
      <alignment horizontal="center" vertical="center"/>
    </xf>
    <xf numFmtId="183" fontId="0" fillId="0" borderId="15" xfId="0" applyNumberFormat="1" applyBorder="1" applyAlignment="1">
      <alignment horizontal="center" vertical="center"/>
    </xf>
    <xf numFmtId="183" fontId="0" fillId="2" borderId="28" xfId="0" applyNumberFormat="1" applyFill="1" applyBorder="1" applyAlignment="1">
      <alignment horizontal="center" vertical="center"/>
    </xf>
    <xf numFmtId="180" fontId="0" fillId="2" borderId="1" xfId="0" applyNumberFormat="1" applyFill="1" applyBorder="1" applyAlignment="1">
      <alignment horizontal="center" vertical="center"/>
    </xf>
    <xf numFmtId="180" fontId="0" fillId="2" borderId="1" xfId="0" applyNumberFormat="1" applyFill="1" applyBorder="1">
      <alignment vertical="center"/>
    </xf>
    <xf numFmtId="180" fontId="0" fillId="2" borderId="0" xfId="0" applyNumberFormat="1" applyFill="1">
      <alignment vertic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180" fontId="0" fillId="4" borderId="1" xfId="0" applyNumberFormat="1" applyFill="1" applyBorder="1" applyAlignment="1">
      <alignment horizontal="center" vertical="center"/>
    </xf>
    <xf numFmtId="181" fontId="0" fillId="4" borderId="1" xfId="0" applyNumberFormat="1" applyFill="1" applyBorder="1" applyAlignment="1">
      <alignment horizontal="center" vertical="center" wrapText="1"/>
    </xf>
    <xf numFmtId="0" fontId="0" fillId="10" borderId="26" xfId="0" applyFill="1" applyBorder="1" applyAlignment="1">
      <alignment horizontal="center" vertical="center" wrapText="1"/>
    </xf>
    <xf numFmtId="181" fontId="0" fillId="10" borderId="26" xfId="0" applyNumberForma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180" fontId="0" fillId="11" borderId="26" xfId="0" applyNumberFormat="1" applyFill="1" applyBorder="1" applyAlignment="1">
      <alignment horizontal="center" vertical="center"/>
    </xf>
    <xf numFmtId="180" fontId="0" fillId="13" borderId="1" xfId="0" applyNumberFormat="1" applyFill="1" applyBorder="1" applyAlignment="1">
      <alignment horizontal="right" vertical="center"/>
    </xf>
    <xf numFmtId="180" fontId="0" fillId="5" borderId="1" xfId="0" applyNumberFormat="1" applyFill="1" applyBorder="1" applyAlignment="1">
      <alignment horizontal="right" vertical="center"/>
    </xf>
    <xf numFmtId="0" fontId="0" fillId="10" borderId="1" xfId="0" applyFill="1" applyBorder="1" applyAlignment="1">
      <alignment horizontal="center" vertical="center" wrapText="1"/>
    </xf>
    <xf numFmtId="0" fontId="0" fillId="2" borderId="34" xfId="0" applyFill="1" applyBorder="1" applyAlignment="1">
      <alignment horizontal="center" vertical="center"/>
    </xf>
    <xf numFmtId="179" fontId="0" fillId="0" borderId="35" xfId="0" applyNumberFormat="1" applyBorder="1" applyAlignment="1">
      <alignment horizontal="center" vertical="center" shrinkToFit="1"/>
    </xf>
    <xf numFmtId="180" fontId="0" fillId="14" borderId="26" xfId="0" applyNumberFormat="1" applyFill="1" applyBorder="1" applyAlignment="1">
      <alignment horizontal="center" vertical="center"/>
    </xf>
    <xf numFmtId="180" fontId="0" fillId="0" borderId="1" xfId="0" applyNumberFormat="1" applyBorder="1" applyAlignment="1">
      <alignment horizontal="right" vertical="center"/>
    </xf>
    <xf numFmtId="180" fontId="0" fillId="0" borderId="26" xfId="0" applyNumberFormat="1" applyBorder="1" applyAlignment="1">
      <alignment horizontal="right" vertical="center"/>
    </xf>
    <xf numFmtId="176" fontId="0" fillId="0" borderId="36" xfId="0" applyNumberFormat="1" applyBorder="1">
      <alignment vertical="center"/>
    </xf>
    <xf numFmtId="177" fontId="0" fillId="0" borderId="33" xfId="0" applyNumberFormat="1" applyBorder="1" applyAlignment="1" applyProtection="1">
      <alignment horizontal="center" vertical="center"/>
      <protection locked="0"/>
    </xf>
    <xf numFmtId="177" fontId="0" fillId="0" borderId="26" xfId="0" applyNumberFormat="1" applyBorder="1" applyAlignment="1" applyProtection="1">
      <alignment horizontal="center" vertical="center"/>
      <protection locked="0"/>
    </xf>
    <xf numFmtId="177" fontId="0" fillId="3" borderId="26" xfId="0" applyNumberFormat="1" applyFill="1" applyBorder="1" applyAlignment="1">
      <alignment horizontal="center" vertical="center"/>
    </xf>
    <xf numFmtId="177" fontId="0" fillId="4" borderId="31" xfId="0" applyNumberFormat="1" applyFill="1" applyBorder="1" applyAlignment="1">
      <alignment horizontal="center" vertical="center"/>
    </xf>
    <xf numFmtId="0" fontId="0" fillId="0" borderId="37" xfId="0" applyBorder="1" applyAlignment="1" applyProtection="1">
      <alignment horizontal="center" vertical="center"/>
      <protection locked="0"/>
    </xf>
    <xf numFmtId="177" fontId="0" fillId="10" borderId="41" xfId="0" applyNumberFormat="1" applyFill="1" applyBorder="1" applyAlignment="1">
      <alignment horizontal="center" vertical="center"/>
    </xf>
    <xf numFmtId="0" fontId="0" fillId="10" borderId="42" xfId="0" applyFill="1" applyBorder="1" applyAlignment="1">
      <alignment horizontal="center" vertical="center"/>
    </xf>
    <xf numFmtId="177" fontId="0" fillId="10" borderId="43" xfId="0" applyNumberFormat="1" applyFill="1" applyBorder="1" applyAlignment="1">
      <alignment horizontal="center" vertical="center"/>
    </xf>
    <xf numFmtId="56" fontId="0" fillId="10" borderId="40" xfId="0" applyNumberFormat="1" applyFill="1" applyBorder="1" applyAlignment="1">
      <alignment horizontal="center" vertical="center"/>
    </xf>
    <xf numFmtId="181" fontId="0" fillId="10" borderId="41" xfId="0" applyNumberForma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20" fontId="0" fillId="7" borderId="17" xfId="0" applyNumberForma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20" fontId="0" fillId="6" borderId="7" xfId="0" applyNumberForma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20" fontId="0" fillId="7" borderId="45" xfId="0" applyNumberFormat="1" applyFill="1" applyBorder="1" applyAlignment="1">
      <alignment horizontal="center" vertical="center"/>
    </xf>
    <xf numFmtId="20" fontId="0" fillId="6" borderId="46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77" fontId="0" fillId="0" borderId="6" xfId="0" applyNumberFormat="1" applyBorder="1" applyAlignment="1" applyProtection="1">
      <alignment horizontal="left" vertical="center"/>
      <protection locked="0"/>
    </xf>
    <xf numFmtId="177" fontId="0" fillId="0" borderId="7" xfId="0" applyNumberFormat="1" applyBorder="1" applyAlignment="1" applyProtection="1">
      <alignment horizontal="left" vertical="center"/>
      <protection locked="0"/>
    </xf>
    <xf numFmtId="177" fontId="0" fillId="0" borderId="8" xfId="0" applyNumberFormat="1" applyBorder="1" applyAlignment="1" applyProtection="1">
      <alignment horizontal="left" vertical="center"/>
      <protection locked="0"/>
    </xf>
    <xf numFmtId="177" fontId="0" fillId="2" borderId="2" xfId="0" applyNumberFormat="1" applyFill="1" applyBorder="1" applyAlignment="1">
      <alignment horizontal="center" vertical="center"/>
    </xf>
    <xf numFmtId="177" fontId="0" fillId="2" borderId="3" xfId="0" applyNumberFormat="1" applyFill="1" applyBorder="1" applyAlignment="1">
      <alignment horizontal="center" vertical="center"/>
    </xf>
    <xf numFmtId="177" fontId="0" fillId="2" borderId="4" xfId="0" applyNumberForma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177" fontId="0" fillId="7" borderId="10" xfId="0" applyNumberFormat="1" applyFill="1" applyBorder="1" applyAlignment="1">
      <alignment horizontal="center" vertical="center"/>
    </xf>
    <xf numFmtId="177" fontId="0" fillId="7" borderId="11" xfId="0" applyNumberFormat="1" applyFill="1" applyBorder="1" applyAlignment="1">
      <alignment horizontal="center" vertical="center"/>
    </xf>
    <xf numFmtId="177" fontId="0" fillId="7" borderId="1" xfId="0" applyNumberFormat="1" applyFill="1" applyBorder="1" applyAlignment="1">
      <alignment horizontal="center" vertical="center"/>
    </xf>
    <xf numFmtId="177" fontId="0" fillId="7" borderId="7" xfId="0" applyNumberFormat="1" applyFill="1" applyBorder="1" applyAlignment="1">
      <alignment horizontal="center" vertical="center"/>
    </xf>
    <xf numFmtId="177" fontId="0" fillId="6" borderId="1" xfId="0" applyNumberFormat="1" applyFill="1" applyBorder="1" applyAlignment="1">
      <alignment horizontal="center" vertical="center"/>
    </xf>
    <xf numFmtId="177" fontId="0" fillId="6" borderId="7" xfId="0" applyNumberFormat="1" applyFill="1" applyBorder="1" applyAlignment="1">
      <alignment horizontal="center" vertical="center"/>
    </xf>
    <xf numFmtId="177" fontId="0" fillId="7" borderId="19" xfId="0" applyNumberFormat="1" applyFill="1" applyBorder="1" applyAlignment="1">
      <alignment horizontal="center" vertical="center"/>
    </xf>
    <xf numFmtId="177" fontId="0" fillId="7" borderId="25" xfId="0" applyNumberFormat="1" applyFill="1" applyBorder="1" applyAlignment="1">
      <alignment horizontal="center" vertical="center"/>
    </xf>
    <xf numFmtId="177" fontId="0" fillId="7" borderId="9" xfId="0" applyNumberFormat="1" applyFill="1" applyBorder="1" applyAlignment="1">
      <alignment horizontal="center" vertical="center"/>
    </xf>
    <xf numFmtId="177" fontId="0" fillId="3" borderId="22" xfId="0" applyNumberFormat="1" applyFill="1" applyBorder="1" applyAlignment="1">
      <alignment horizontal="center" vertical="center"/>
    </xf>
    <xf numFmtId="177" fontId="0" fillId="3" borderId="10" xfId="0" applyNumberFormat="1" applyFill="1" applyBorder="1" applyAlignment="1">
      <alignment horizontal="center" vertical="center"/>
    </xf>
    <xf numFmtId="177" fontId="0" fillId="6" borderId="21" xfId="0" applyNumberFormat="1" applyFill="1" applyBorder="1" applyAlignment="1">
      <alignment horizontal="center" vertical="center"/>
    </xf>
    <xf numFmtId="177" fontId="0" fillId="6" borderId="25" xfId="0" applyNumberForma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11" borderId="26" xfId="0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14" borderId="31" xfId="0" applyFill="1" applyBorder="1" applyAlignment="1">
      <alignment horizontal="center" vertical="center"/>
    </xf>
    <xf numFmtId="0" fontId="0" fillId="14" borderId="32" xfId="0" applyFill="1" applyBorder="1" applyAlignment="1">
      <alignment horizontal="center" vertical="center"/>
    </xf>
    <xf numFmtId="0" fontId="0" fillId="14" borderId="33" xfId="0" applyFill="1" applyBorder="1" applyAlignment="1">
      <alignment horizontal="center" vertical="center"/>
    </xf>
    <xf numFmtId="0" fontId="0" fillId="14" borderId="24" xfId="0" applyFill="1" applyBorder="1" applyAlignment="1">
      <alignment horizontal="center" vertical="center"/>
    </xf>
    <xf numFmtId="0" fontId="0" fillId="14" borderId="30" xfId="0" applyFill="1" applyBorder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1" borderId="3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6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10" borderId="27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6" fillId="0" borderId="30" xfId="0" applyFon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0" fontId="6" fillId="0" borderId="30" xfId="0" applyFont="1" applyBorder="1" applyAlignment="1">
      <alignment horizontal="center" vertical="top"/>
    </xf>
    <xf numFmtId="49" fontId="0" fillId="0" borderId="1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left" vertical="center" shrinkToFit="1"/>
    </xf>
    <xf numFmtId="178" fontId="0" fillId="0" borderId="0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30480</xdr:rowOff>
        </xdr:from>
        <xdr:to>
          <xdr:col>5</xdr:col>
          <xdr:colOff>632460</xdr:colOff>
          <xdr:row>1</xdr:row>
          <xdr:rowOff>236220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160020</xdr:colOff>
          <xdr:row>3</xdr:row>
          <xdr:rowOff>190500</xdr:rowOff>
        </xdr:from>
        <xdr:to>
          <xdr:col>13</xdr:col>
          <xdr:colOff>137160</xdr:colOff>
          <xdr:row>5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3</xdr:row>
          <xdr:rowOff>190500</xdr:rowOff>
        </xdr:from>
        <xdr:to>
          <xdr:col>15</xdr:col>
          <xdr:colOff>220980</xdr:colOff>
          <xdr:row>5</xdr:row>
          <xdr:rowOff>175260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保護/解除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3</xdr:row>
          <xdr:rowOff>30480</xdr:rowOff>
        </xdr:from>
        <xdr:to>
          <xdr:col>2</xdr:col>
          <xdr:colOff>426720</xdr:colOff>
          <xdr:row>3</xdr:row>
          <xdr:rowOff>289560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夜シフト代入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</xdr:row>
          <xdr:rowOff>30480</xdr:rowOff>
        </xdr:from>
        <xdr:to>
          <xdr:col>7</xdr:col>
          <xdr:colOff>426720</xdr:colOff>
          <xdr:row>3</xdr:row>
          <xdr:rowOff>289560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昼シフト代入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83820</xdr:rowOff>
        </xdr:from>
        <xdr:to>
          <xdr:col>15</xdr:col>
          <xdr:colOff>403860</xdr:colOff>
          <xdr:row>0</xdr:row>
          <xdr:rowOff>388620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並替・数式設定実行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1935480</xdr:colOff>
          <xdr:row>0</xdr:row>
          <xdr:rowOff>297180</xdr:rowOff>
        </xdr:from>
        <xdr:to>
          <xdr:col>6</xdr:col>
          <xdr:colOff>2804160</xdr:colOff>
          <xdr:row>2</xdr:row>
          <xdr:rowOff>68580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勤務日取得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0</xdr:row>
          <xdr:rowOff>38100</xdr:rowOff>
        </xdr:from>
        <xdr:to>
          <xdr:col>8</xdr:col>
          <xdr:colOff>937260</xdr:colOff>
          <xdr:row>1</xdr:row>
          <xdr:rowOff>182880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特別日集計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70"/>
  <sheetViews>
    <sheetView showGridLines="0" showZeros="0" tabSelected="1" zoomScale="70" zoomScaleNormal="7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2" sqref="B2:D2"/>
    </sheetView>
  </sheetViews>
  <sheetFormatPr defaultColWidth="9" defaultRowHeight="18"/>
  <cols>
    <col min="1" max="1" width="12.8984375" bestFit="1" customWidth="1"/>
    <col min="2" max="10" width="9" style="11"/>
    <col min="11" max="11" width="9" style="12"/>
    <col min="12" max="12" width="4.5" customWidth="1"/>
    <col min="13" max="13" width="7.09765625" bestFit="1" customWidth="1"/>
    <col min="14" max="14" width="5.19921875" style="12" bestFit="1" customWidth="1"/>
    <col min="15" max="16" width="6.19921875" style="12" bestFit="1" customWidth="1"/>
    <col min="17" max="17" width="6.19921875" customWidth="1"/>
  </cols>
  <sheetData>
    <row r="1" spans="1:17" ht="18.600000000000001" thickBot="1">
      <c r="A1" s="10" t="s">
        <v>8</v>
      </c>
      <c r="B1" s="115" t="s">
        <v>0</v>
      </c>
      <c r="C1" s="116"/>
      <c r="D1" s="117"/>
      <c r="I1" s="12"/>
      <c r="J1" s="12"/>
      <c r="K1"/>
      <c r="M1" s="109" t="s">
        <v>89</v>
      </c>
      <c r="N1" s="99" t="s">
        <v>84</v>
      </c>
      <c r="O1" s="100" t="s">
        <v>87</v>
      </c>
      <c r="P1" s="100" t="s">
        <v>88</v>
      </c>
      <c r="Q1" s="105" t="s">
        <v>90</v>
      </c>
    </row>
    <row r="2" spans="1:17" ht="18.600000000000001" thickBot="1">
      <c r="A2" s="25">
        <v>45017</v>
      </c>
      <c r="B2" s="112" t="s">
        <v>122</v>
      </c>
      <c r="C2" s="113"/>
      <c r="D2" s="114"/>
      <c r="E2" s="13"/>
      <c r="F2" s="13"/>
      <c r="I2" s="12"/>
      <c r="J2" s="12"/>
      <c r="K2"/>
      <c r="M2" s="110"/>
      <c r="N2" s="101" t="s">
        <v>85</v>
      </c>
      <c r="O2" s="102">
        <f>TIME(19,0,0)</f>
        <v>0.79166666666666663</v>
      </c>
      <c r="P2" s="102">
        <f>TIME(23,0,0)</f>
        <v>0.95833333333333337</v>
      </c>
      <c r="Q2" s="106"/>
    </row>
    <row r="3" spans="1:17" ht="18.600000000000001" thickBot="1">
      <c r="A3" s="14"/>
      <c r="M3" s="111"/>
      <c r="N3" s="103" t="s">
        <v>86</v>
      </c>
      <c r="O3" s="104">
        <f>TIME(10,0,0)</f>
        <v>0.41666666666666669</v>
      </c>
      <c r="P3" s="104">
        <f>TIME(17,0,0)</f>
        <v>0.70833333333333337</v>
      </c>
      <c r="Q3" s="107"/>
    </row>
    <row r="4" spans="1:17" ht="24.9" customHeight="1">
      <c r="A4" s="121" t="s">
        <v>1</v>
      </c>
      <c r="B4" s="130" t="s">
        <v>2</v>
      </c>
      <c r="C4" s="131"/>
      <c r="D4" s="131"/>
      <c r="E4" s="131"/>
      <c r="F4" s="132"/>
      <c r="G4" s="135" t="s">
        <v>3</v>
      </c>
      <c r="H4" s="136"/>
      <c r="I4" s="136"/>
      <c r="J4" s="136"/>
      <c r="K4" s="118" t="s">
        <v>7</v>
      </c>
    </row>
    <row r="5" spans="1:17">
      <c r="A5" s="122"/>
      <c r="B5" s="124" t="s">
        <v>4</v>
      </c>
      <c r="C5" s="126" t="s">
        <v>5</v>
      </c>
      <c r="D5" s="126" t="s">
        <v>6</v>
      </c>
      <c r="E5" s="133" t="s">
        <v>17</v>
      </c>
      <c r="F5" s="134"/>
      <c r="G5" s="128" t="s">
        <v>4</v>
      </c>
      <c r="H5" s="128" t="s">
        <v>5</v>
      </c>
      <c r="I5" s="128" t="s">
        <v>6</v>
      </c>
      <c r="J5" s="15" t="s">
        <v>17</v>
      </c>
      <c r="K5" s="119"/>
    </row>
    <row r="6" spans="1:17" ht="18.600000000000001" thickBot="1">
      <c r="A6" s="123"/>
      <c r="B6" s="125"/>
      <c r="C6" s="127"/>
      <c r="D6" s="127"/>
      <c r="E6" s="16" t="s">
        <v>18</v>
      </c>
      <c r="F6" s="16" t="s">
        <v>19</v>
      </c>
      <c r="G6" s="129"/>
      <c r="H6" s="129"/>
      <c r="I6" s="129"/>
      <c r="J6" s="17" t="s">
        <v>18</v>
      </c>
      <c r="K6" s="120"/>
    </row>
    <row r="7" spans="1:17">
      <c r="A7" s="18">
        <f>IF(例月区分="","",DATE(YEAR(例月区分),MONTH(例月区分),1))</f>
        <v>45017</v>
      </c>
      <c r="B7" s="7"/>
      <c r="C7" s="8"/>
      <c r="D7" s="8"/>
      <c r="E7" s="19" t="str">
        <f>IF(B7="","",C7-B7-D7)</f>
        <v/>
      </c>
      <c r="F7" s="19">
        <f>MAX(C7-"22:00",0)</f>
        <v>0</v>
      </c>
      <c r="G7" s="8"/>
      <c r="H7" s="8"/>
      <c r="I7" s="8"/>
      <c r="J7" s="20" t="str">
        <f>IF(G7="","",H7-G7-I7)</f>
        <v/>
      </c>
      <c r="K7" s="9"/>
    </row>
    <row r="8" spans="1:17">
      <c r="A8" s="21">
        <f t="shared" ref="A8:A37" si="0">IF(例月区分="","",IF(TEXT(A7+1,"ge.m")=TEXT(例月区分,"ge.m"),A7+1,""))</f>
        <v>45018</v>
      </c>
      <c r="B8" s="6"/>
      <c r="C8" s="4"/>
      <c r="D8" s="4"/>
      <c r="E8" s="22" t="str">
        <f t="shared" ref="E8:E37" si="1">IF(B8="","",C8-B8-D8)</f>
        <v/>
      </c>
      <c r="F8" s="22">
        <f t="shared" ref="F8:F37" si="2">MAX(C8-"22:00",0)</f>
        <v>0</v>
      </c>
      <c r="G8" s="4"/>
      <c r="H8" s="4"/>
      <c r="I8" s="4"/>
      <c r="J8" s="15" t="str">
        <f t="shared" ref="J8:J37" si="3">IF(G8="","",H8-G8-I8)</f>
        <v/>
      </c>
      <c r="K8" s="5"/>
    </row>
    <row r="9" spans="1:17">
      <c r="A9" s="21">
        <f t="shared" si="0"/>
        <v>45019</v>
      </c>
      <c r="B9" s="6"/>
      <c r="C9" s="4"/>
      <c r="D9" s="4"/>
      <c r="E9" s="22" t="str">
        <f>IF(B9="","",C9-B9-D9)</f>
        <v/>
      </c>
      <c r="F9" s="22">
        <f t="shared" si="2"/>
        <v>0</v>
      </c>
      <c r="G9" s="4"/>
      <c r="H9" s="4"/>
      <c r="I9" s="4"/>
      <c r="J9" s="15" t="str">
        <f t="shared" si="3"/>
        <v/>
      </c>
      <c r="K9" s="5"/>
    </row>
    <row r="10" spans="1:17">
      <c r="A10" s="21">
        <f t="shared" si="0"/>
        <v>45020</v>
      </c>
      <c r="B10" s="6"/>
      <c r="C10" s="4"/>
      <c r="D10" s="4"/>
      <c r="E10" s="22" t="str">
        <f t="shared" si="1"/>
        <v/>
      </c>
      <c r="F10" s="22">
        <f t="shared" si="2"/>
        <v>0</v>
      </c>
      <c r="G10" s="4"/>
      <c r="H10" s="4"/>
      <c r="I10" s="4"/>
      <c r="J10" s="15" t="str">
        <f t="shared" si="3"/>
        <v/>
      </c>
      <c r="K10" s="5"/>
    </row>
    <row r="11" spans="1:17">
      <c r="A11" s="21">
        <f t="shared" si="0"/>
        <v>45021</v>
      </c>
      <c r="B11" s="6"/>
      <c r="C11" s="4"/>
      <c r="D11" s="4"/>
      <c r="E11" s="22" t="str">
        <f t="shared" si="1"/>
        <v/>
      </c>
      <c r="F11" s="22">
        <f t="shared" si="2"/>
        <v>0</v>
      </c>
      <c r="G11" s="4"/>
      <c r="H11" s="4"/>
      <c r="I11" s="4"/>
      <c r="J11" s="15" t="str">
        <f t="shared" si="3"/>
        <v/>
      </c>
      <c r="K11" s="5"/>
    </row>
    <row r="12" spans="1:17">
      <c r="A12" s="21">
        <f t="shared" si="0"/>
        <v>45022</v>
      </c>
      <c r="B12" s="6"/>
      <c r="C12" s="4"/>
      <c r="D12" s="4"/>
      <c r="E12" s="22" t="str">
        <f t="shared" si="1"/>
        <v/>
      </c>
      <c r="F12" s="22">
        <f t="shared" si="2"/>
        <v>0</v>
      </c>
      <c r="G12" s="4"/>
      <c r="H12" s="4"/>
      <c r="I12" s="4"/>
      <c r="J12" s="15" t="str">
        <f t="shared" si="3"/>
        <v/>
      </c>
      <c r="K12" s="5"/>
    </row>
    <row r="13" spans="1:17">
      <c r="A13" s="21">
        <f t="shared" si="0"/>
        <v>45023</v>
      </c>
      <c r="B13" s="6"/>
      <c r="C13" s="4"/>
      <c r="D13" s="4"/>
      <c r="E13" s="22" t="str">
        <f t="shared" si="1"/>
        <v/>
      </c>
      <c r="F13" s="22">
        <f t="shared" si="2"/>
        <v>0</v>
      </c>
      <c r="G13" s="4"/>
      <c r="H13" s="4"/>
      <c r="I13" s="4"/>
      <c r="J13" s="15" t="str">
        <f t="shared" si="3"/>
        <v/>
      </c>
      <c r="K13" s="5"/>
    </row>
    <row r="14" spans="1:17">
      <c r="A14" s="21">
        <f t="shared" si="0"/>
        <v>45024</v>
      </c>
      <c r="B14" s="6"/>
      <c r="C14" s="4"/>
      <c r="D14" s="4"/>
      <c r="E14" s="22" t="str">
        <f t="shared" si="1"/>
        <v/>
      </c>
      <c r="F14" s="22">
        <f t="shared" si="2"/>
        <v>0</v>
      </c>
      <c r="G14" s="4"/>
      <c r="H14" s="4"/>
      <c r="I14" s="4"/>
      <c r="J14" s="15" t="str">
        <f t="shared" si="3"/>
        <v/>
      </c>
      <c r="K14" s="5"/>
    </row>
    <row r="15" spans="1:17">
      <c r="A15" s="21">
        <f t="shared" si="0"/>
        <v>45025</v>
      </c>
      <c r="B15" s="6"/>
      <c r="C15" s="4"/>
      <c r="D15" s="4"/>
      <c r="E15" s="22" t="str">
        <f t="shared" si="1"/>
        <v/>
      </c>
      <c r="F15" s="22">
        <f t="shared" si="2"/>
        <v>0</v>
      </c>
      <c r="G15" s="4"/>
      <c r="H15" s="4"/>
      <c r="I15" s="4"/>
      <c r="J15" s="15" t="str">
        <f t="shared" si="3"/>
        <v/>
      </c>
      <c r="K15" s="5"/>
    </row>
    <row r="16" spans="1:17">
      <c r="A16" s="21">
        <f t="shared" si="0"/>
        <v>45026</v>
      </c>
      <c r="B16" s="6"/>
      <c r="C16" s="4"/>
      <c r="D16" s="4"/>
      <c r="E16" s="22" t="str">
        <f t="shared" si="1"/>
        <v/>
      </c>
      <c r="F16" s="22">
        <f t="shared" si="2"/>
        <v>0</v>
      </c>
      <c r="G16" s="4"/>
      <c r="H16" s="4"/>
      <c r="I16" s="4"/>
      <c r="J16" s="15" t="str">
        <f t="shared" si="3"/>
        <v/>
      </c>
      <c r="K16" s="5"/>
    </row>
    <row r="17" spans="1:11">
      <c r="A17" s="21">
        <f t="shared" si="0"/>
        <v>45027</v>
      </c>
      <c r="B17" s="6"/>
      <c r="C17" s="4"/>
      <c r="D17" s="4"/>
      <c r="E17" s="22" t="str">
        <f t="shared" si="1"/>
        <v/>
      </c>
      <c r="F17" s="22">
        <f t="shared" si="2"/>
        <v>0</v>
      </c>
      <c r="G17" s="4"/>
      <c r="H17" s="4"/>
      <c r="I17" s="4"/>
      <c r="J17" s="15" t="str">
        <f t="shared" si="3"/>
        <v/>
      </c>
      <c r="K17" s="5"/>
    </row>
    <row r="18" spans="1:11">
      <c r="A18" s="21">
        <f t="shared" si="0"/>
        <v>45028</v>
      </c>
      <c r="B18" s="6"/>
      <c r="C18" s="4"/>
      <c r="D18" s="4"/>
      <c r="E18" s="22" t="str">
        <f t="shared" si="1"/>
        <v/>
      </c>
      <c r="F18" s="22">
        <f t="shared" si="2"/>
        <v>0</v>
      </c>
      <c r="G18" s="4"/>
      <c r="H18" s="4"/>
      <c r="I18" s="4"/>
      <c r="J18" s="15" t="str">
        <f t="shared" si="3"/>
        <v/>
      </c>
      <c r="K18" s="5"/>
    </row>
    <row r="19" spans="1:11">
      <c r="A19" s="21">
        <f t="shared" si="0"/>
        <v>45029</v>
      </c>
      <c r="B19" s="6"/>
      <c r="C19" s="4"/>
      <c r="D19" s="4"/>
      <c r="E19" s="22" t="str">
        <f t="shared" si="1"/>
        <v/>
      </c>
      <c r="F19" s="22">
        <f t="shared" si="2"/>
        <v>0</v>
      </c>
      <c r="G19" s="4"/>
      <c r="H19" s="4"/>
      <c r="I19" s="4"/>
      <c r="J19" s="15" t="str">
        <f t="shared" si="3"/>
        <v/>
      </c>
      <c r="K19" s="5"/>
    </row>
    <row r="20" spans="1:11">
      <c r="A20" s="21">
        <f t="shared" si="0"/>
        <v>45030</v>
      </c>
      <c r="B20" s="6"/>
      <c r="C20" s="4"/>
      <c r="D20" s="4"/>
      <c r="E20" s="22" t="str">
        <f t="shared" si="1"/>
        <v/>
      </c>
      <c r="F20" s="22">
        <f t="shared" si="2"/>
        <v>0</v>
      </c>
      <c r="G20" s="4"/>
      <c r="H20" s="4"/>
      <c r="I20" s="4"/>
      <c r="J20" s="15" t="str">
        <f t="shared" si="3"/>
        <v/>
      </c>
      <c r="K20" s="5"/>
    </row>
    <row r="21" spans="1:11">
      <c r="A21" s="21">
        <f t="shared" si="0"/>
        <v>45031</v>
      </c>
      <c r="B21" s="6"/>
      <c r="C21" s="4"/>
      <c r="D21" s="4"/>
      <c r="E21" s="22" t="str">
        <f t="shared" si="1"/>
        <v/>
      </c>
      <c r="F21" s="22">
        <f t="shared" si="2"/>
        <v>0</v>
      </c>
      <c r="G21" s="4"/>
      <c r="H21" s="4"/>
      <c r="I21" s="4"/>
      <c r="J21" s="15" t="str">
        <f t="shared" si="3"/>
        <v/>
      </c>
      <c r="K21" s="5"/>
    </row>
    <row r="22" spans="1:11">
      <c r="A22" s="21">
        <f t="shared" si="0"/>
        <v>45032</v>
      </c>
      <c r="B22" s="6">
        <v>0.79166666666666663</v>
      </c>
      <c r="C22" s="4">
        <v>0.95833333333333337</v>
      </c>
      <c r="D22" s="4"/>
      <c r="E22" s="22">
        <f t="shared" si="1"/>
        <v>0.16666666666666674</v>
      </c>
      <c r="F22" s="22">
        <f t="shared" si="2"/>
        <v>4.1666666666666741E-2</v>
      </c>
      <c r="G22" s="4"/>
      <c r="H22" s="4"/>
      <c r="I22" s="4"/>
      <c r="J22" s="15" t="str">
        <f t="shared" si="3"/>
        <v/>
      </c>
      <c r="K22" s="5"/>
    </row>
    <row r="23" spans="1:11">
      <c r="A23" s="21">
        <f t="shared" si="0"/>
        <v>45033</v>
      </c>
      <c r="B23" s="6"/>
      <c r="C23" s="4"/>
      <c r="D23" s="4"/>
      <c r="E23" s="22" t="str">
        <f t="shared" si="1"/>
        <v/>
      </c>
      <c r="F23" s="22">
        <f t="shared" si="2"/>
        <v>0</v>
      </c>
      <c r="G23" s="4"/>
      <c r="H23" s="4"/>
      <c r="I23" s="4"/>
      <c r="J23" s="15" t="str">
        <f t="shared" si="3"/>
        <v/>
      </c>
      <c r="K23" s="5"/>
    </row>
    <row r="24" spans="1:11">
      <c r="A24" s="21">
        <f t="shared" si="0"/>
        <v>45034</v>
      </c>
      <c r="B24" s="6"/>
      <c r="C24" s="4"/>
      <c r="D24" s="4"/>
      <c r="E24" s="22" t="str">
        <f t="shared" si="1"/>
        <v/>
      </c>
      <c r="F24" s="22">
        <f t="shared" si="2"/>
        <v>0</v>
      </c>
      <c r="G24" s="4"/>
      <c r="H24" s="4"/>
      <c r="I24" s="4"/>
      <c r="J24" s="15" t="str">
        <f t="shared" si="3"/>
        <v/>
      </c>
      <c r="K24" s="5"/>
    </row>
    <row r="25" spans="1:11">
      <c r="A25" s="21">
        <f t="shared" si="0"/>
        <v>45035</v>
      </c>
      <c r="B25" s="6"/>
      <c r="C25" s="4"/>
      <c r="D25" s="4"/>
      <c r="E25" s="22" t="str">
        <f t="shared" si="1"/>
        <v/>
      </c>
      <c r="F25" s="22">
        <f t="shared" si="2"/>
        <v>0</v>
      </c>
      <c r="G25" s="4"/>
      <c r="H25" s="4"/>
      <c r="I25" s="4"/>
      <c r="J25" s="15" t="str">
        <f t="shared" si="3"/>
        <v/>
      </c>
      <c r="K25" s="5"/>
    </row>
    <row r="26" spans="1:11">
      <c r="A26" s="21">
        <f t="shared" si="0"/>
        <v>45036</v>
      </c>
      <c r="B26" s="6"/>
      <c r="C26" s="4"/>
      <c r="D26" s="4"/>
      <c r="E26" s="22" t="str">
        <f t="shared" si="1"/>
        <v/>
      </c>
      <c r="F26" s="22">
        <f t="shared" si="2"/>
        <v>0</v>
      </c>
      <c r="G26" s="4"/>
      <c r="H26" s="4"/>
      <c r="I26" s="4"/>
      <c r="J26" s="15" t="str">
        <f t="shared" si="3"/>
        <v/>
      </c>
      <c r="K26" s="5"/>
    </row>
    <row r="27" spans="1:11">
      <c r="A27" s="21">
        <f t="shared" si="0"/>
        <v>45037</v>
      </c>
      <c r="B27" s="6"/>
      <c r="C27" s="4"/>
      <c r="D27" s="4"/>
      <c r="E27" s="22" t="str">
        <f t="shared" si="1"/>
        <v/>
      </c>
      <c r="F27" s="22">
        <f t="shared" si="2"/>
        <v>0</v>
      </c>
      <c r="G27" s="4"/>
      <c r="H27" s="4"/>
      <c r="I27" s="4"/>
      <c r="J27" s="15" t="str">
        <f t="shared" si="3"/>
        <v/>
      </c>
      <c r="K27" s="5"/>
    </row>
    <row r="28" spans="1:11">
      <c r="A28" s="21">
        <f t="shared" si="0"/>
        <v>45038</v>
      </c>
      <c r="B28" s="6"/>
      <c r="C28" s="4"/>
      <c r="D28" s="4"/>
      <c r="E28" s="22" t="str">
        <f t="shared" si="1"/>
        <v/>
      </c>
      <c r="F28" s="22">
        <f t="shared" si="2"/>
        <v>0</v>
      </c>
      <c r="G28" s="4"/>
      <c r="H28" s="4"/>
      <c r="I28" s="4"/>
      <c r="J28" s="15" t="str">
        <f t="shared" si="3"/>
        <v/>
      </c>
      <c r="K28" s="5"/>
    </row>
    <row r="29" spans="1:11">
      <c r="A29" s="21">
        <f t="shared" si="0"/>
        <v>45039</v>
      </c>
      <c r="B29" s="6"/>
      <c r="C29" s="4"/>
      <c r="D29" s="4"/>
      <c r="E29" s="22" t="str">
        <f t="shared" si="1"/>
        <v/>
      </c>
      <c r="F29" s="22">
        <f t="shared" si="2"/>
        <v>0</v>
      </c>
      <c r="G29" s="4"/>
      <c r="H29" s="4"/>
      <c r="I29" s="4"/>
      <c r="J29" s="15" t="str">
        <f t="shared" si="3"/>
        <v/>
      </c>
      <c r="K29" s="5"/>
    </row>
    <row r="30" spans="1:11">
      <c r="A30" s="21">
        <f t="shared" si="0"/>
        <v>45040</v>
      </c>
      <c r="B30" s="6"/>
      <c r="C30" s="4"/>
      <c r="D30" s="4"/>
      <c r="E30" s="22" t="str">
        <f t="shared" si="1"/>
        <v/>
      </c>
      <c r="F30" s="22">
        <f t="shared" si="2"/>
        <v>0</v>
      </c>
      <c r="G30" s="4"/>
      <c r="H30" s="4"/>
      <c r="I30" s="4"/>
      <c r="J30" s="15" t="str">
        <f t="shared" si="3"/>
        <v/>
      </c>
      <c r="K30" s="5"/>
    </row>
    <row r="31" spans="1:11">
      <c r="A31" s="21">
        <f t="shared" si="0"/>
        <v>45041</v>
      </c>
      <c r="B31" s="6"/>
      <c r="C31" s="4"/>
      <c r="D31" s="4"/>
      <c r="E31" s="22" t="str">
        <f t="shared" si="1"/>
        <v/>
      </c>
      <c r="F31" s="22">
        <f t="shared" si="2"/>
        <v>0</v>
      </c>
      <c r="G31" s="4"/>
      <c r="H31" s="4"/>
      <c r="I31" s="4"/>
      <c r="J31" s="15" t="str">
        <f t="shared" si="3"/>
        <v/>
      </c>
      <c r="K31" s="5"/>
    </row>
    <row r="32" spans="1:11">
      <c r="A32" s="21">
        <f t="shared" si="0"/>
        <v>45042</v>
      </c>
      <c r="B32" s="6"/>
      <c r="C32" s="4"/>
      <c r="D32" s="4"/>
      <c r="E32" s="22" t="str">
        <f t="shared" si="1"/>
        <v/>
      </c>
      <c r="F32" s="22">
        <f t="shared" si="2"/>
        <v>0</v>
      </c>
      <c r="G32" s="4"/>
      <c r="H32" s="4"/>
      <c r="I32" s="4"/>
      <c r="J32" s="15" t="str">
        <f t="shared" si="3"/>
        <v/>
      </c>
      <c r="K32" s="5"/>
    </row>
    <row r="33" spans="1:11">
      <c r="A33" s="21">
        <f t="shared" si="0"/>
        <v>45043</v>
      </c>
      <c r="B33" s="6"/>
      <c r="C33" s="4"/>
      <c r="D33" s="4"/>
      <c r="E33" s="22" t="str">
        <f t="shared" si="1"/>
        <v/>
      </c>
      <c r="F33" s="22">
        <f t="shared" si="2"/>
        <v>0</v>
      </c>
      <c r="G33" s="4"/>
      <c r="H33" s="4"/>
      <c r="I33" s="4"/>
      <c r="J33" s="15" t="str">
        <f t="shared" si="3"/>
        <v/>
      </c>
      <c r="K33" s="5"/>
    </row>
    <row r="34" spans="1:11">
      <c r="A34" s="21">
        <f t="shared" si="0"/>
        <v>45044</v>
      </c>
      <c r="B34" s="6"/>
      <c r="C34" s="4"/>
      <c r="D34" s="4"/>
      <c r="E34" s="22" t="str">
        <f t="shared" si="1"/>
        <v/>
      </c>
      <c r="F34" s="22">
        <f t="shared" si="2"/>
        <v>0</v>
      </c>
      <c r="G34" s="4"/>
      <c r="H34" s="4"/>
      <c r="I34" s="4"/>
      <c r="J34" s="15" t="str">
        <f t="shared" si="3"/>
        <v/>
      </c>
      <c r="K34" s="5"/>
    </row>
    <row r="35" spans="1:11">
      <c r="A35" s="21">
        <f t="shared" si="0"/>
        <v>45045</v>
      </c>
      <c r="B35" s="6"/>
      <c r="C35" s="4"/>
      <c r="D35" s="4"/>
      <c r="E35" s="22" t="str">
        <f t="shared" si="1"/>
        <v/>
      </c>
      <c r="F35" s="22">
        <f t="shared" si="2"/>
        <v>0</v>
      </c>
      <c r="G35" s="4"/>
      <c r="H35" s="4"/>
      <c r="I35" s="4"/>
      <c r="J35" s="15" t="str">
        <f t="shared" si="3"/>
        <v/>
      </c>
      <c r="K35" s="5"/>
    </row>
    <row r="36" spans="1:11">
      <c r="A36" s="21">
        <f t="shared" si="0"/>
        <v>45046</v>
      </c>
      <c r="B36" s="6"/>
      <c r="C36" s="4"/>
      <c r="D36" s="4"/>
      <c r="E36" s="22" t="str">
        <f t="shared" si="1"/>
        <v/>
      </c>
      <c r="F36" s="22">
        <f t="shared" si="2"/>
        <v>0</v>
      </c>
      <c r="G36" s="4"/>
      <c r="H36" s="4"/>
      <c r="I36" s="4"/>
      <c r="J36" s="15" t="str">
        <f t="shared" si="3"/>
        <v/>
      </c>
      <c r="K36" s="5"/>
    </row>
    <row r="37" spans="1:11" ht="18.600000000000001" thickBot="1">
      <c r="A37" s="88" t="str">
        <f t="shared" si="0"/>
        <v/>
      </c>
      <c r="B37" s="89"/>
      <c r="C37" s="90"/>
      <c r="D37" s="90"/>
      <c r="E37" s="91" t="str">
        <f t="shared" si="1"/>
        <v/>
      </c>
      <c r="F37" s="91">
        <f t="shared" si="2"/>
        <v>0</v>
      </c>
      <c r="G37" s="90"/>
      <c r="H37" s="90"/>
      <c r="I37" s="90"/>
      <c r="J37" s="92" t="str">
        <f t="shared" si="3"/>
        <v/>
      </c>
      <c r="K37" s="93"/>
    </row>
    <row r="38" spans="1:11" ht="19.2" thickTop="1" thickBot="1">
      <c r="A38" s="97" t="s">
        <v>82</v>
      </c>
      <c r="B38" s="96" t="s">
        <v>81</v>
      </c>
      <c r="C38" s="94" t="s">
        <v>81</v>
      </c>
      <c r="D38" s="94" t="s">
        <v>81</v>
      </c>
      <c r="E38" s="98">
        <f>SUM(E7:E37)</f>
        <v>0.16666666666666674</v>
      </c>
      <c r="F38" s="98">
        <f>SUM(F7:F37)</f>
        <v>4.1666666666666741E-2</v>
      </c>
      <c r="G38" s="94" t="s">
        <v>81</v>
      </c>
      <c r="H38" s="94" t="s">
        <v>81</v>
      </c>
      <c r="I38" s="94" t="s">
        <v>81</v>
      </c>
      <c r="J38" s="98">
        <f>SUM(J7:J37)</f>
        <v>0</v>
      </c>
      <c r="K38" s="95">
        <f>COUNTIF(K7:K37,"&lt;&gt;"&amp;"")</f>
        <v>0</v>
      </c>
    </row>
    <row r="39" spans="1:11">
      <c r="A39" s="23"/>
    </row>
    <row r="40" spans="1:11">
      <c r="A40" s="23"/>
    </row>
    <row r="41" spans="1:11">
      <c r="A41" s="23"/>
    </row>
    <row r="42" spans="1:11">
      <c r="A42" s="23"/>
    </row>
    <row r="43" spans="1:11">
      <c r="A43" s="23"/>
    </row>
    <row r="44" spans="1:11">
      <c r="A44" s="23"/>
    </row>
    <row r="45" spans="1:11">
      <c r="A45" s="23"/>
    </row>
    <row r="46" spans="1:11">
      <c r="A46" s="23"/>
    </row>
    <row r="47" spans="1:11">
      <c r="A47" s="23"/>
    </row>
    <row r="48" spans="1:11">
      <c r="A48" s="23"/>
    </row>
    <row r="49" spans="1:1">
      <c r="A49" s="23"/>
    </row>
    <row r="50" spans="1:1">
      <c r="A50" s="23"/>
    </row>
    <row r="51" spans="1:1">
      <c r="A51" s="23"/>
    </row>
    <row r="52" spans="1:1">
      <c r="A52" s="23"/>
    </row>
    <row r="53" spans="1:1">
      <c r="A53" s="23"/>
    </row>
    <row r="54" spans="1:1">
      <c r="A54" s="23"/>
    </row>
    <row r="55" spans="1:1">
      <c r="A55" s="23"/>
    </row>
    <row r="56" spans="1:1">
      <c r="A56" s="23"/>
    </row>
    <row r="57" spans="1:1">
      <c r="A57" s="23"/>
    </row>
    <row r="58" spans="1:1">
      <c r="A58" s="23"/>
    </row>
    <row r="59" spans="1:1">
      <c r="A59" s="23"/>
    </row>
    <row r="60" spans="1:1">
      <c r="A60" s="23"/>
    </row>
    <row r="61" spans="1:1">
      <c r="A61" s="23"/>
    </row>
    <row r="62" spans="1:1">
      <c r="A62" s="23"/>
    </row>
    <row r="63" spans="1:1">
      <c r="A63" s="23"/>
    </row>
    <row r="64" spans="1:1">
      <c r="A64" s="23"/>
    </row>
    <row r="65" spans="1:1">
      <c r="A65" s="23"/>
    </row>
    <row r="66" spans="1:1">
      <c r="A66" s="23"/>
    </row>
    <row r="67" spans="1:1">
      <c r="A67" s="23"/>
    </row>
    <row r="68" spans="1:1">
      <c r="A68" s="23"/>
    </row>
    <row r="69" spans="1:1">
      <c r="A69" s="23"/>
    </row>
    <row r="70" spans="1:1">
      <c r="A70" s="23"/>
    </row>
  </sheetData>
  <sheetProtection sheet="1" objects="1" scenarios="1" selectLockedCells="1"/>
  <mergeCells count="14">
    <mergeCell ref="M1:M3"/>
    <mergeCell ref="B2:D2"/>
    <mergeCell ref="B1:D1"/>
    <mergeCell ref="K4:K6"/>
    <mergeCell ref="A4:A6"/>
    <mergeCell ref="B5:B6"/>
    <mergeCell ref="C5:C6"/>
    <mergeCell ref="D5:D6"/>
    <mergeCell ref="G5:G6"/>
    <mergeCell ref="H5:H6"/>
    <mergeCell ref="I5:I6"/>
    <mergeCell ref="B4:F4"/>
    <mergeCell ref="E5:F5"/>
    <mergeCell ref="G4:J4"/>
  </mergeCells>
  <phoneticPr fontId="1"/>
  <conditionalFormatting sqref="A7:D37 G7:I37 K7:K37">
    <cfRule type="expression" dxfId="0" priority="1">
      <formula>OR(WEEKDAY($A7)=1,WEEKDAY($A7)=7)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台帳記録">
                <anchor moveWithCells="1" sizeWithCells="1">
                  <from>
                    <xdr:col>4</xdr:col>
                    <xdr:colOff>457200</xdr:colOff>
                    <xdr:row>0</xdr:row>
                    <xdr:rowOff>30480</xdr:rowOff>
                  </from>
                  <to>
                    <xdr:col>5</xdr:col>
                    <xdr:colOff>632460</xdr:colOff>
                    <xdr:row>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個別シフト表クリア">
                <anchor moveWithCells="1" sizeWithCells="1">
                  <from>
                    <xdr:col>11</xdr:col>
                    <xdr:colOff>160020</xdr:colOff>
                    <xdr:row>3</xdr:row>
                    <xdr:rowOff>190500</xdr:rowOff>
                  </from>
                  <to>
                    <xdr:col>13</xdr:col>
                    <xdr:colOff>137160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保護切替">
                <anchor moveWithCells="1" sizeWithCells="1">
                  <from>
                    <xdr:col>13</xdr:col>
                    <xdr:colOff>251460</xdr:colOff>
                    <xdr:row>3</xdr:row>
                    <xdr:rowOff>190500</xdr:rowOff>
                  </from>
                  <to>
                    <xdr:col>15</xdr:col>
                    <xdr:colOff>220980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Fill="0" autoPict="0" macro="[0]!夜定型シフト代入">
                <anchor moveWithCells="1" sizeWithCells="1">
                  <from>
                    <xdr:col>1</xdr:col>
                    <xdr:colOff>60960</xdr:colOff>
                    <xdr:row>3</xdr:row>
                    <xdr:rowOff>30480</xdr:rowOff>
                  </from>
                  <to>
                    <xdr:col>2</xdr:col>
                    <xdr:colOff>426720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Button 15">
              <controlPr defaultSize="0" print="0" autoFill="0" autoPict="0" macro="[0]!昼定型シフト代入">
                <anchor moveWithCells="1" sizeWithCells="1">
                  <from>
                    <xdr:col>6</xdr:col>
                    <xdr:colOff>60960</xdr:colOff>
                    <xdr:row>3</xdr:row>
                    <xdr:rowOff>30480</xdr:rowOff>
                  </from>
                  <to>
                    <xdr:col>7</xdr:col>
                    <xdr:colOff>426720</xdr:colOff>
                    <xdr:row>3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xr:uid="{00000000-0002-0000-0000-000000000000}">
          <x14:formula1>
            <xm:f>給与集計!$D$5:$D$90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119"/>
  <sheetViews>
    <sheetView workbookViewId="0">
      <pane ySplit="1" topLeftCell="A2" activePane="bottomLeft" state="frozen"/>
      <selection pane="bottomLeft"/>
    </sheetView>
  </sheetViews>
  <sheetFormatPr defaultColWidth="9" defaultRowHeight="18"/>
  <cols>
    <col min="1" max="1" width="15.09765625" style="173" bestFit="1" customWidth="1"/>
    <col min="2" max="2" width="8.69921875" style="174" bestFit="1" customWidth="1"/>
    <col min="3" max="8" width="9" style="175"/>
    <col min="9" max="9" width="9" style="172"/>
    <col min="10" max="10" width="9" style="176"/>
    <col min="11" max="13" width="16.5" style="171" bestFit="1" customWidth="1"/>
    <col min="14" max="16384" width="9" style="172"/>
  </cols>
  <sheetData>
    <row r="1" spans="1:13" ht="36.75" customHeight="1">
      <c r="A1" s="108" t="s">
        <v>9</v>
      </c>
      <c r="B1" s="28" t="s">
        <v>16</v>
      </c>
      <c r="C1" s="28" t="s">
        <v>10</v>
      </c>
      <c r="D1" s="28" t="s">
        <v>11</v>
      </c>
      <c r="E1" s="28" t="s">
        <v>12</v>
      </c>
      <c r="F1" s="28" t="s">
        <v>13</v>
      </c>
      <c r="G1" s="28" t="s">
        <v>14</v>
      </c>
      <c r="H1" s="28" t="s">
        <v>15</v>
      </c>
      <c r="I1" s="28" t="s">
        <v>20</v>
      </c>
      <c r="J1" s="46" t="s">
        <v>48</v>
      </c>
      <c r="K1" s="42" t="s">
        <v>49</v>
      </c>
      <c r="L1" s="42" t="s">
        <v>50</v>
      </c>
      <c r="M1" s="42" t="s">
        <v>51</v>
      </c>
    </row>
    <row r="2" spans="1:13">
      <c r="A2" s="24" t="s">
        <v>91</v>
      </c>
      <c r="B2" s="3">
        <v>45032</v>
      </c>
      <c r="C2" s="2">
        <v>0.79166666666666663</v>
      </c>
      <c r="D2" s="2">
        <v>0.95833333333333337</v>
      </c>
      <c r="E2" s="2"/>
      <c r="F2" s="2"/>
      <c r="G2" s="2"/>
      <c r="H2" s="2"/>
      <c r="I2" s="1"/>
      <c r="J2" s="43">
        <f>IF(B2="","-",DATE(YEAR(B2),MONTH(B2),1))</f>
        <v>45017</v>
      </c>
      <c r="K2" s="47">
        <f>D2-C2-E2</f>
        <v>0.16666666666666674</v>
      </c>
      <c r="L2" s="47">
        <f>MAX(0,D2-TIME(22,0,0))</f>
        <v>4.1666666666666741E-2</v>
      </c>
      <c r="M2" s="47">
        <f>G2-F2-H2</f>
        <v>0</v>
      </c>
    </row>
    <row r="3" spans="1:13">
      <c r="A3" s="24" t="s">
        <v>100</v>
      </c>
      <c r="B3" s="3">
        <v>45074</v>
      </c>
      <c r="C3" s="2"/>
      <c r="D3" s="2"/>
      <c r="E3" s="2"/>
      <c r="F3" s="2">
        <v>0.41666666666666669</v>
      </c>
      <c r="G3" s="2">
        <v>0.70833333333333337</v>
      </c>
      <c r="H3" s="2"/>
      <c r="I3" s="1"/>
      <c r="J3" s="43">
        <f>IF(B3="","-",DATE(YEAR(B3),MONTH(B3),1))</f>
        <v>45047</v>
      </c>
      <c r="K3" s="47">
        <f>D3-C3-E3</f>
        <v>0</v>
      </c>
      <c r="L3" s="47">
        <f>MAX(0,D3-TIME(22,0,0))</f>
        <v>0</v>
      </c>
      <c r="M3" s="47">
        <f>G3-F3-H3</f>
        <v>0.29166666666666669</v>
      </c>
    </row>
    <row r="4" spans="1:13">
      <c r="A4" s="24" t="s">
        <v>101</v>
      </c>
      <c r="B4" s="3">
        <v>45102</v>
      </c>
      <c r="C4" s="2"/>
      <c r="D4" s="2"/>
      <c r="E4" s="2"/>
      <c r="F4" s="2">
        <v>0.41666666666666669</v>
      </c>
      <c r="G4" s="2">
        <v>0.70833333333333337</v>
      </c>
      <c r="H4" s="2"/>
      <c r="I4" s="1"/>
      <c r="J4" s="43">
        <f>IF(B4="","-",DATE(YEAR(B4),MONTH(B4),1))</f>
        <v>45078</v>
      </c>
      <c r="K4" s="47">
        <f>D4-C4-E4</f>
        <v>0</v>
      </c>
      <c r="L4" s="47">
        <f>MAX(0,D4-TIME(22,0,0))</f>
        <v>0</v>
      </c>
      <c r="M4" s="47">
        <f>G4-F4-H4</f>
        <v>0.29166666666666669</v>
      </c>
    </row>
    <row r="5" spans="1:13">
      <c r="A5" s="24" t="s">
        <v>102</v>
      </c>
      <c r="B5" s="3">
        <v>45039</v>
      </c>
      <c r="C5" s="2"/>
      <c r="D5" s="2"/>
      <c r="E5" s="2"/>
      <c r="F5" s="2">
        <v>0.41666666666666669</v>
      </c>
      <c r="G5" s="2">
        <v>0.72222222222222221</v>
      </c>
      <c r="H5" s="2"/>
      <c r="I5" s="1"/>
      <c r="J5" s="43">
        <f>IF(B5="","-",DATE(YEAR(B5),MONTH(B5),1))</f>
        <v>45017</v>
      </c>
      <c r="K5" s="47">
        <f>D5-C5-E5</f>
        <v>0</v>
      </c>
      <c r="L5" s="47">
        <f>MAX(0,D5-TIME(22,0,0))</f>
        <v>0</v>
      </c>
      <c r="M5" s="47">
        <f>G5-F5-H5</f>
        <v>0.30555555555555552</v>
      </c>
    </row>
    <row r="6" spans="1:13">
      <c r="A6" s="24" t="s">
        <v>103</v>
      </c>
      <c r="B6" s="3">
        <v>45032</v>
      </c>
      <c r="C6" s="2"/>
      <c r="D6" s="2"/>
      <c r="E6" s="2"/>
      <c r="F6" s="2">
        <v>0.41666666666666669</v>
      </c>
      <c r="G6" s="2">
        <v>0.71180555555555547</v>
      </c>
      <c r="H6" s="2"/>
      <c r="I6" s="1"/>
      <c r="J6" s="43">
        <f>IF(B6="","-",DATE(YEAR(B6),MONTH(B6),1))</f>
        <v>45017</v>
      </c>
      <c r="K6" s="47">
        <f>D6-C6-E6</f>
        <v>0</v>
      </c>
      <c r="L6" s="47">
        <f>MAX(0,D6-TIME(22,0,0))</f>
        <v>0</v>
      </c>
      <c r="M6" s="47">
        <f>G6-F6-H6</f>
        <v>0.29513888888888878</v>
      </c>
    </row>
    <row r="7" spans="1:13">
      <c r="A7" s="24" t="s">
        <v>104</v>
      </c>
      <c r="B7" s="3">
        <v>45035</v>
      </c>
      <c r="C7" s="2">
        <v>0.79166666666666663</v>
      </c>
      <c r="D7" s="2">
        <v>0.95833333333333337</v>
      </c>
      <c r="E7" s="2"/>
      <c r="F7" s="2"/>
      <c r="G7" s="2"/>
      <c r="H7" s="2"/>
      <c r="I7" s="1"/>
      <c r="J7" s="43">
        <f>IF(B7="","-",DATE(YEAR(B7),MONTH(B7),1))</f>
        <v>45017</v>
      </c>
      <c r="K7" s="47">
        <f>D7-C7-E7</f>
        <v>0.16666666666666674</v>
      </c>
      <c r="L7" s="47">
        <f>MAX(0,D7-TIME(22,0,0))</f>
        <v>4.1666666666666741E-2</v>
      </c>
      <c r="M7" s="47">
        <f>G7-F7-H7</f>
        <v>0</v>
      </c>
    </row>
    <row r="8" spans="1:13">
      <c r="A8" s="24" t="s">
        <v>104</v>
      </c>
      <c r="B8" s="3">
        <v>45039</v>
      </c>
      <c r="C8" s="2">
        <v>0.79166666666666663</v>
      </c>
      <c r="D8" s="2">
        <v>0.95833333333333337</v>
      </c>
      <c r="E8" s="2"/>
      <c r="F8" s="2"/>
      <c r="G8" s="2"/>
      <c r="H8" s="2"/>
      <c r="I8" s="1"/>
      <c r="J8" s="43">
        <f>IF(B8="","-",DATE(YEAR(B8),MONTH(B8),1))</f>
        <v>45017</v>
      </c>
      <c r="K8" s="47">
        <f>D8-C8-E8</f>
        <v>0.16666666666666674</v>
      </c>
      <c r="L8" s="47">
        <f>MAX(0,D8-TIME(22,0,0))</f>
        <v>4.1666666666666741E-2</v>
      </c>
      <c r="M8" s="47">
        <f>G8-F8-H8</f>
        <v>0</v>
      </c>
    </row>
    <row r="9" spans="1:13">
      <c r="A9" s="24" t="s">
        <v>104</v>
      </c>
      <c r="B9" s="3">
        <v>45063</v>
      </c>
      <c r="C9" s="2">
        <v>0.79166666666666663</v>
      </c>
      <c r="D9" s="2">
        <v>0.95833333333333337</v>
      </c>
      <c r="E9" s="2"/>
      <c r="F9" s="2"/>
      <c r="G9" s="2"/>
      <c r="H9" s="2"/>
      <c r="I9" s="1"/>
      <c r="J9" s="43">
        <f>IF(B9="","-",DATE(YEAR(B9),MONTH(B9),1))</f>
        <v>45047</v>
      </c>
      <c r="K9" s="47">
        <f>D9-C9-E9</f>
        <v>0.16666666666666674</v>
      </c>
      <c r="L9" s="47">
        <f>MAX(0,D9-TIME(22,0,0))</f>
        <v>4.1666666666666741E-2</v>
      </c>
      <c r="M9" s="47">
        <f>G9-F9-H9</f>
        <v>0</v>
      </c>
    </row>
    <row r="10" spans="1:13">
      <c r="A10" s="24" t="s">
        <v>104</v>
      </c>
      <c r="B10" s="3">
        <v>45068</v>
      </c>
      <c r="C10" s="2">
        <v>0.79166666666666663</v>
      </c>
      <c r="D10" s="2">
        <v>0.95833333333333337</v>
      </c>
      <c r="E10" s="2"/>
      <c r="F10" s="2"/>
      <c r="G10" s="2"/>
      <c r="H10" s="2"/>
      <c r="I10" s="1"/>
      <c r="J10" s="43">
        <f>IF(B10="","-",DATE(YEAR(B10),MONTH(B10),1))</f>
        <v>45047</v>
      </c>
      <c r="K10" s="47">
        <f>D10-C10-E10</f>
        <v>0.16666666666666674</v>
      </c>
      <c r="L10" s="47">
        <f>MAX(0,D10-TIME(22,0,0))</f>
        <v>4.1666666666666741E-2</v>
      </c>
      <c r="M10" s="47">
        <f>G10-F10-H10</f>
        <v>0</v>
      </c>
    </row>
    <row r="11" spans="1:13">
      <c r="A11" s="24" t="s">
        <v>104</v>
      </c>
      <c r="B11" s="3">
        <v>45095</v>
      </c>
      <c r="C11" s="2">
        <v>0.79166666666666663</v>
      </c>
      <c r="D11" s="2">
        <v>0.95833333333333337</v>
      </c>
      <c r="E11" s="2"/>
      <c r="F11" s="2"/>
      <c r="G11" s="2"/>
      <c r="H11" s="2"/>
      <c r="I11" s="1"/>
      <c r="J11" s="43">
        <f>IF(B11="","-",DATE(YEAR(B11),MONTH(B11),1))</f>
        <v>45078</v>
      </c>
      <c r="K11" s="47">
        <f>D11-C11-E11</f>
        <v>0.16666666666666674</v>
      </c>
      <c r="L11" s="47">
        <f>MAX(0,D11-TIME(22,0,0))</f>
        <v>4.1666666666666741E-2</v>
      </c>
      <c r="M11" s="47">
        <f>G11-F11-H11</f>
        <v>0</v>
      </c>
    </row>
    <row r="12" spans="1:13">
      <c r="A12" s="24" t="s">
        <v>104</v>
      </c>
      <c r="B12" s="3">
        <v>45099</v>
      </c>
      <c r="C12" s="2">
        <v>0.79166666666666663</v>
      </c>
      <c r="D12" s="2">
        <v>0.95833333333333337</v>
      </c>
      <c r="E12" s="2"/>
      <c r="F12" s="2"/>
      <c r="G12" s="2"/>
      <c r="H12" s="2"/>
      <c r="I12" s="1"/>
      <c r="J12" s="43">
        <f>IF(B12="","-",DATE(YEAR(B12),MONTH(B12),1))</f>
        <v>45078</v>
      </c>
      <c r="K12" s="47">
        <f>D12-C12-E12</f>
        <v>0.16666666666666674</v>
      </c>
      <c r="L12" s="47">
        <f>MAX(0,D12-TIME(22,0,0))</f>
        <v>4.1666666666666741E-2</v>
      </c>
      <c r="M12" s="47">
        <f>G12-F12-H12</f>
        <v>0</v>
      </c>
    </row>
    <row r="13" spans="1:13">
      <c r="A13" s="24" t="s">
        <v>105</v>
      </c>
      <c r="B13" s="3">
        <v>45037</v>
      </c>
      <c r="C13" s="2">
        <v>0.79166666666666663</v>
      </c>
      <c r="D13" s="2">
        <v>0.95833333333333337</v>
      </c>
      <c r="E13" s="2"/>
      <c r="F13" s="2"/>
      <c r="G13" s="2"/>
      <c r="H13" s="2"/>
      <c r="I13" s="1"/>
      <c r="J13" s="43">
        <f>IF(B13="","-",DATE(YEAR(B13),MONTH(B13),1))</f>
        <v>45017</v>
      </c>
      <c r="K13" s="47">
        <f>D13-C13-E13</f>
        <v>0.16666666666666674</v>
      </c>
      <c r="L13" s="47">
        <f>MAX(0,D13-TIME(22,0,0))</f>
        <v>4.1666666666666741E-2</v>
      </c>
      <c r="M13" s="47">
        <f>G13-F13-H13</f>
        <v>0</v>
      </c>
    </row>
    <row r="14" spans="1:13">
      <c r="A14" s="24" t="s">
        <v>105</v>
      </c>
      <c r="B14" s="3">
        <v>45065</v>
      </c>
      <c r="C14" s="2">
        <v>0.79166666666666663</v>
      </c>
      <c r="D14" s="2">
        <v>0.95833333333333337</v>
      </c>
      <c r="E14" s="2"/>
      <c r="F14" s="2"/>
      <c r="G14" s="2"/>
      <c r="H14" s="2"/>
      <c r="I14" s="1"/>
      <c r="J14" s="43">
        <f>IF(B14="","-",DATE(YEAR(B14),MONTH(B14),1))</f>
        <v>45047</v>
      </c>
      <c r="K14" s="47">
        <f>D14-C14-E14</f>
        <v>0.16666666666666674</v>
      </c>
      <c r="L14" s="47">
        <f>MAX(0,D14-TIME(22,0,0))</f>
        <v>4.1666666666666741E-2</v>
      </c>
      <c r="M14" s="47">
        <f>G14-F14-H14</f>
        <v>0</v>
      </c>
    </row>
    <row r="15" spans="1:13">
      <c r="A15" s="24" t="s">
        <v>105</v>
      </c>
      <c r="B15" s="3">
        <v>45094</v>
      </c>
      <c r="C15" s="2">
        <v>0.79166666666666663</v>
      </c>
      <c r="D15" s="2">
        <v>0.95833333333333337</v>
      </c>
      <c r="E15" s="2"/>
      <c r="F15" s="2"/>
      <c r="G15" s="2"/>
      <c r="H15" s="2"/>
      <c r="I15" s="1"/>
      <c r="J15" s="43">
        <f>IF(B15="","-",DATE(YEAR(B15),MONTH(B15),1))</f>
        <v>45078</v>
      </c>
      <c r="K15" s="47">
        <f>D15-C15-E15</f>
        <v>0.16666666666666674</v>
      </c>
      <c r="L15" s="47">
        <f>MAX(0,D15-TIME(22,0,0))</f>
        <v>4.1666666666666741E-2</v>
      </c>
      <c r="M15" s="47">
        <f>G15-F15-H15</f>
        <v>0</v>
      </c>
    </row>
    <row r="16" spans="1:13">
      <c r="A16" s="24" t="s">
        <v>106</v>
      </c>
      <c r="B16" s="3">
        <v>45067</v>
      </c>
      <c r="C16" s="2"/>
      <c r="D16" s="2"/>
      <c r="E16" s="2"/>
      <c r="F16" s="2">
        <v>0.41666666666666669</v>
      </c>
      <c r="G16" s="2">
        <v>0.70833333333333337</v>
      </c>
      <c r="H16" s="2"/>
      <c r="I16" s="1"/>
      <c r="J16" s="43">
        <f>IF(B16="","-",DATE(YEAR(B16),MONTH(B16),1))</f>
        <v>45047</v>
      </c>
      <c r="K16" s="47">
        <f>D16-C16-E16</f>
        <v>0</v>
      </c>
      <c r="L16" s="47">
        <f>MAX(0,D16-TIME(22,0,0))</f>
        <v>0</v>
      </c>
      <c r="M16" s="47">
        <f>G16-F16-H16</f>
        <v>0.29166666666666669</v>
      </c>
    </row>
    <row r="17" spans="1:13">
      <c r="A17" s="24" t="s">
        <v>107</v>
      </c>
      <c r="B17" s="3">
        <v>45045</v>
      </c>
      <c r="C17" s="2"/>
      <c r="D17" s="2"/>
      <c r="E17" s="2"/>
      <c r="F17" s="2">
        <v>0.41666666666666669</v>
      </c>
      <c r="G17" s="2">
        <v>0.70833333333333337</v>
      </c>
      <c r="H17" s="2"/>
      <c r="I17" s="1"/>
      <c r="J17" s="43">
        <f>IF(B17="","-",DATE(YEAR(B17),MONTH(B17),1))</f>
        <v>45017</v>
      </c>
      <c r="K17" s="47">
        <f>D17-C17-E17</f>
        <v>0</v>
      </c>
      <c r="L17" s="47">
        <f>MAX(0,D17-TIME(22,0,0))</f>
        <v>0</v>
      </c>
      <c r="M17" s="47">
        <f>G17-F17-H17</f>
        <v>0.29166666666666669</v>
      </c>
    </row>
    <row r="18" spans="1:13">
      <c r="A18" s="24" t="s">
        <v>108</v>
      </c>
      <c r="B18" s="3">
        <v>45049</v>
      </c>
      <c r="C18" s="2"/>
      <c r="D18" s="2"/>
      <c r="E18" s="2"/>
      <c r="F18" s="2">
        <v>0.41666666666666669</v>
      </c>
      <c r="G18" s="2">
        <v>0.70833333333333337</v>
      </c>
      <c r="H18" s="2"/>
      <c r="I18" s="1"/>
      <c r="J18" s="43">
        <f>IF(B18="","-",DATE(YEAR(B18),MONTH(B18),1))</f>
        <v>45047</v>
      </c>
      <c r="K18" s="47">
        <f>D18-C18-E18</f>
        <v>0</v>
      </c>
      <c r="L18" s="47">
        <f>MAX(0,D18-TIME(22,0,0))</f>
        <v>0</v>
      </c>
      <c r="M18" s="47">
        <f>G18-F18-H18</f>
        <v>0.29166666666666669</v>
      </c>
    </row>
    <row r="19" spans="1:13">
      <c r="A19" s="24" t="s">
        <v>109</v>
      </c>
      <c r="B19" s="3">
        <v>45095</v>
      </c>
      <c r="C19" s="2"/>
      <c r="D19" s="2"/>
      <c r="E19" s="2"/>
      <c r="F19" s="2">
        <v>0.41666666666666669</v>
      </c>
      <c r="G19" s="2">
        <v>0.70833333333333337</v>
      </c>
      <c r="H19" s="2"/>
      <c r="I19" s="1"/>
      <c r="J19" s="43">
        <f>IF(B19="","-",DATE(YEAR(B19),MONTH(B19),1))</f>
        <v>45078</v>
      </c>
      <c r="K19" s="47">
        <f>D19-C19-E19</f>
        <v>0</v>
      </c>
      <c r="L19" s="47">
        <f>MAX(0,D19-TIME(22,0,0))</f>
        <v>0</v>
      </c>
      <c r="M19" s="47">
        <f>G19-F19-H19</f>
        <v>0.29166666666666669</v>
      </c>
    </row>
    <row r="20" spans="1:13">
      <c r="A20" s="24" t="s">
        <v>92</v>
      </c>
      <c r="B20" s="3">
        <v>45051</v>
      </c>
      <c r="C20" s="2"/>
      <c r="D20" s="2"/>
      <c r="E20" s="2"/>
      <c r="F20" s="2">
        <v>0.41666666666666669</v>
      </c>
      <c r="G20" s="2">
        <v>0.70833333333333337</v>
      </c>
      <c r="H20" s="2"/>
      <c r="I20" s="1"/>
      <c r="J20" s="43">
        <f>IF(B20="","-",DATE(YEAR(B20),MONTH(B20),1))</f>
        <v>45047</v>
      </c>
      <c r="K20" s="47">
        <f>D20-C20-E20</f>
        <v>0</v>
      </c>
      <c r="L20" s="47">
        <f>MAX(0,D20-TIME(22,0,0))</f>
        <v>0</v>
      </c>
      <c r="M20" s="47">
        <f>G20-F20-H20</f>
        <v>0.29166666666666669</v>
      </c>
    </row>
    <row r="21" spans="1:13">
      <c r="A21" s="24" t="s">
        <v>110</v>
      </c>
      <c r="B21" s="3">
        <v>45017</v>
      </c>
      <c r="C21" s="2">
        <v>0.79166666666666663</v>
      </c>
      <c r="D21" s="2">
        <v>0.95833333333333337</v>
      </c>
      <c r="E21" s="2"/>
      <c r="F21" s="2"/>
      <c r="G21" s="2"/>
      <c r="H21" s="2"/>
      <c r="I21" s="1"/>
      <c r="J21" s="43">
        <f>IF(B21="","-",DATE(YEAR(B21),MONTH(B21),1))</f>
        <v>45017</v>
      </c>
      <c r="K21" s="47">
        <f>D21-C21-E21</f>
        <v>0.16666666666666674</v>
      </c>
      <c r="L21" s="47">
        <f>MAX(0,D21-TIME(22,0,0))</f>
        <v>4.1666666666666741E-2</v>
      </c>
      <c r="M21" s="47">
        <f>G21-F21-H21</f>
        <v>0</v>
      </c>
    </row>
    <row r="22" spans="1:13">
      <c r="A22" s="24" t="s">
        <v>110</v>
      </c>
      <c r="B22" s="3">
        <v>45018</v>
      </c>
      <c r="C22" s="2">
        <v>0.79166666666666663</v>
      </c>
      <c r="D22" s="2">
        <v>0.95833333333333337</v>
      </c>
      <c r="E22" s="2"/>
      <c r="F22" s="2">
        <v>0.41666666666666669</v>
      </c>
      <c r="G22" s="2">
        <v>0.70833333333333337</v>
      </c>
      <c r="H22" s="2"/>
      <c r="I22" s="1"/>
      <c r="J22" s="43">
        <f>IF(B22="","-",DATE(YEAR(B22),MONTH(B22),1))</f>
        <v>45017</v>
      </c>
      <c r="K22" s="47">
        <f>D22-C22-E22</f>
        <v>0.16666666666666674</v>
      </c>
      <c r="L22" s="47">
        <f>MAX(0,D22-TIME(22,0,0))</f>
        <v>4.1666666666666741E-2</v>
      </c>
      <c r="M22" s="47">
        <f>G22-F22-H22</f>
        <v>0.29166666666666669</v>
      </c>
    </row>
    <row r="23" spans="1:13">
      <c r="A23" s="24" t="s">
        <v>110</v>
      </c>
      <c r="B23" s="3">
        <v>45020</v>
      </c>
      <c r="C23" s="2">
        <v>0.79166666666666663</v>
      </c>
      <c r="D23" s="2">
        <v>0.95833333333333337</v>
      </c>
      <c r="E23" s="2"/>
      <c r="F23" s="2"/>
      <c r="G23" s="2"/>
      <c r="H23" s="2"/>
      <c r="I23" s="1"/>
      <c r="J23" s="43">
        <f>IF(B23="","-",DATE(YEAR(B23),MONTH(B23),1))</f>
        <v>45017</v>
      </c>
      <c r="K23" s="47">
        <f>D23-C23-E23</f>
        <v>0.16666666666666674</v>
      </c>
      <c r="L23" s="47">
        <f>MAX(0,D23-TIME(22,0,0))</f>
        <v>4.1666666666666741E-2</v>
      </c>
      <c r="M23" s="47">
        <f>G23-F23-H23</f>
        <v>0</v>
      </c>
    </row>
    <row r="24" spans="1:13">
      <c r="A24" s="24" t="s">
        <v>110</v>
      </c>
      <c r="B24" s="3">
        <v>45027</v>
      </c>
      <c r="C24" s="2">
        <v>0.79166666666666663</v>
      </c>
      <c r="D24" s="2">
        <v>0.95833333333333337</v>
      </c>
      <c r="E24" s="2"/>
      <c r="F24" s="2"/>
      <c r="G24" s="2"/>
      <c r="H24" s="2"/>
      <c r="I24" s="1"/>
      <c r="J24" s="43">
        <f>IF(B24="","-",DATE(YEAR(B24),MONTH(B24),1))</f>
        <v>45017</v>
      </c>
      <c r="K24" s="47">
        <f>D24-C24-E24</f>
        <v>0.16666666666666674</v>
      </c>
      <c r="L24" s="47">
        <f>MAX(0,D24-TIME(22,0,0))</f>
        <v>4.1666666666666741E-2</v>
      </c>
      <c r="M24" s="47">
        <f>G24-F24-H24</f>
        <v>0</v>
      </c>
    </row>
    <row r="25" spans="1:13">
      <c r="A25" s="24" t="s">
        <v>110</v>
      </c>
      <c r="B25" s="3">
        <v>45034</v>
      </c>
      <c r="C25" s="2">
        <v>0.79166666666666663</v>
      </c>
      <c r="D25" s="2">
        <v>0.95833333333333337</v>
      </c>
      <c r="E25" s="2"/>
      <c r="F25" s="2"/>
      <c r="G25" s="2"/>
      <c r="H25" s="2"/>
      <c r="I25" s="1"/>
      <c r="J25" s="43">
        <f>IF(B25="","-",DATE(YEAR(B25),MONTH(B25),1))</f>
        <v>45017</v>
      </c>
      <c r="K25" s="47">
        <f>D25-C25-E25</f>
        <v>0.16666666666666674</v>
      </c>
      <c r="L25" s="47">
        <f>MAX(0,D25-TIME(22,0,0))</f>
        <v>4.1666666666666741E-2</v>
      </c>
      <c r="M25" s="47">
        <f>G25-F25-H25</f>
        <v>0</v>
      </c>
    </row>
    <row r="26" spans="1:13">
      <c r="A26" s="24" t="s">
        <v>110</v>
      </c>
      <c r="B26" s="3">
        <v>45041</v>
      </c>
      <c r="C26" s="2">
        <v>0.79166666666666663</v>
      </c>
      <c r="D26" s="2">
        <v>0.95833333333333337</v>
      </c>
      <c r="E26" s="2"/>
      <c r="F26" s="2"/>
      <c r="G26" s="2"/>
      <c r="H26" s="2"/>
      <c r="I26" s="1"/>
      <c r="J26" s="43">
        <f>IF(B26="","-",DATE(YEAR(B26),MONTH(B26),1))</f>
        <v>45017</v>
      </c>
      <c r="K26" s="47">
        <f>D26-C26-E26</f>
        <v>0.16666666666666674</v>
      </c>
      <c r="L26" s="47">
        <f>MAX(0,D26-TIME(22,0,0))</f>
        <v>4.1666666666666741E-2</v>
      </c>
      <c r="M26" s="47">
        <f>G26-F26-H26</f>
        <v>0</v>
      </c>
    </row>
    <row r="27" spans="1:13">
      <c r="A27" s="24" t="s">
        <v>110</v>
      </c>
      <c r="B27" s="3">
        <v>45048</v>
      </c>
      <c r="C27" s="2">
        <v>0.79166666666666663</v>
      </c>
      <c r="D27" s="2">
        <v>0.95833333333333337</v>
      </c>
      <c r="E27" s="2"/>
      <c r="F27" s="2"/>
      <c r="G27" s="2"/>
      <c r="H27" s="2"/>
      <c r="I27" s="1"/>
      <c r="J27" s="43">
        <f>IF(B27="","-",DATE(YEAR(B27),MONTH(B27),1))</f>
        <v>45047</v>
      </c>
      <c r="K27" s="47">
        <f>D27-C27-E27</f>
        <v>0.16666666666666674</v>
      </c>
      <c r="L27" s="47">
        <f>MAX(0,D27-TIME(22,0,0))</f>
        <v>4.1666666666666741E-2</v>
      </c>
      <c r="M27" s="47">
        <f>G27-F27-H27</f>
        <v>0</v>
      </c>
    </row>
    <row r="28" spans="1:13">
      <c r="A28" s="24" t="s">
        <v>110</v>
      </c>
      <c r="B28" s="3">
        <v>45052</v>
      </c>
      <c r="C28" s="2">
        <v>0.79166666666666663</v>
      </c>
      <c r="D28" s="2">
        <v>0.95833333333333337</v>
      </c>
      <c r="E28" s="2"/>
      <c r="F28" s="2"/>
      <c r="G28" s="2"/>
      <c r="H28" s="2"/>
      <c r="I28" s="1"/>
      <c r="J28" s="43">
        <f>IF(B28="","-",DATE(YEAR(B28),MONTH(B28),1))</f>
        <v>45047</v>
      </c>
      <c r="K28" s="47">
        <f>D28-C28-E28</f>
        <v>0.16666666666666674</v>
      </c>
      <c r="L28" s="47">
        <f>MAX(0,D28-TIME(22,0,0))</f>
        <v>4.1666666666666741E-2</v>
      </c>
      <c r="M28" s="47">
        <f>G28-F28-H28</f>
        <v>0</v>
      </c>
    </row>
    <row r="29" spans="1:13">
      <c r="A29" s="24" t="s">
        <v>110</v>
      </c>
      <c r="B29" s="3">
        <v>45053</v>
      </c>
      <c r="C29" s="2">
        <v>0.79166666666666663</v>
      </c>
      <c r="D29" s="2">
        <v>0.95833333333333337</v>
      </c>
      <c r="E29" s="2"/>
      <c r="F29" s="2">
        <v>0.41666666666666669</v>
      </c>
      <c r="G29" s="2">
        <v>0.70833333333333337</v>
      </c>
      <c r="H29" s="2"/>
      <c r="I29" s="1"/>
      <c r="J29" s="43">
        <f>IF(B29="","-",DATE(YEAR(B29),MONTH(B29),1))</f>
        <v>45047</v>
      </c>
      <c r="K29" s="47">
        <f>D29-C29-E29</f>
        <v>0.16666666666666674</v>
      </c>
      <c r="L29" s="47">
        <f>MAX(0,D29-TIME(22,0,0))</f>
        <v>4.1666666666666741E-2</v>
      </c>
      <c r="M29" s="47">
        <f>G29-F29-H29</f>
        <v>0.29166666666666669</v>
      </c>
    </row>
    <row r="30" spans="1:13">
      <c r="A30" s="24" t="s">
        <v>110</v>
      </c>
      <c r="B30" s="3">
        <v>45055</v>
      </c>
      <c r="C30" s="2">
        <v>0.79166666666666663</v>
      </c>
      <c r="D30" s="2">
        <v>0.95833333333333337</v>
      </c>
      <c r="E30" s="2"/>
      <c r="F30" s="2"/>
      <c r="G30" s="2"/>
      <c r="H30" s="2"/>
      <c r="I30" s="1"/>
      <c r="J30" s="43">
        <f>IF(B30="","-",DATE(YEAR(B30),MONTH(B30),1))</f>
        <v>45047</v>
      </c>
      <c r="K30" s="47">
        <f>D30-C30-E30</f>
        <v>0.16666666666666674</v>
      </c>
      <c r="L30" s="47">
        <f>MAX(0,D30-TIME(22,0,0))</f>
        <v>4.1666666666666741E-2</v>
      </c>
      <c r="M30" s="47">
        <f>G30-F30-H30</f>
        <v>0</v>
      </c>
    </row>
    <row r="31" spans="1:13">
      <c r="A31" s="24" t="s">
        <v>110</v>
      </c>
      <c r="B31" s="3">
        <v>45062</v>
      </c>
      <c r="C31" s="2">
        <v>0.79166666666666663</v>
      </c>
      <c r="D31" s="2">
        <v>0.95833333333333337</v>
      </c>
      <c r="E31" s="2"/>
      <c r="F31" s="2"/>
      <c r="G31" s="2"/>
      <c r="H31" s="2"/>
      <c r="I31" s="1"/>
      <c r="J31" s="43">
        <f>IF(B31="","-",DATE(YEAR(B31),MONTH(B31),1))</f>
        <v>45047</v>
      </c>
      <c r="K31" s="47">
        <f>D31-C31-E31</f>
        <v>0.16666666666666674</v>
      </c>
      <c r="L31" s="47">
        <f>MAX(0,D31-TIME(22,0,0))</f>
        <v>4.1666666666666741E-2</v>
      </c>
      <c r="M31" s="47">
        <f>G31-F31-H31</f>
        <v>0</v>
      </c>
    </row>
    <row r="32" spans="1:13">
      <c r="A32" s="24" t="s">
        <v>110</v>
      </c>
      <c r="B32" s="3">
        <v>45069</v>
      </c>
      <c r="C32" s="2">
        <v>0.79166666666666663</v>
      </c>
      <c r="D32" s="2">
        <v>0.95833333333333337</v>
      </c>
      <c r="E32" s="2"/>
      <c r="F32" s="2"/>
      <c r="G32" s="2"/>
      <c r="H32" s="2"/>
      <c r="I32" s="1"/>
      <c r="J32" s="43">
        <f>IF(B32="","-",DATE(YEAR(B32),MONTH(B32),1))</f>
        <v>45047</v>
      </c>
      <c r="K32" s="47">
        <f>D32-C32-E32</f>
        <v>0.16666666666666674</v>
      </c>
      <c r="L32" s="47">
        <f>MAX(0,D32-TIME(22,0,0))</f>
        <v>4.1666666666666741E-2</v>
      </c>
      <c r="M32" s="47">
        <f>G32-F32-H32</f>
        <v>0</v>
      </c>
    </row>
    <row r="33" spans="1:13">
      <c r="A33" s="24" t="s">
        <v>110</v>
      </c>
      <c r="B33" s="3">
        <v>45076</v>
      </c>
      <c r="C33" s="2">
        <v>0.79166666666666663</v>
      </c>
      <c r="D33" s="2">
        <v>0.95833333333333337</v>
      </c>
      <c r="E33" s="2"/>
      <c r="F33" s="2"/>
      <c r="G33" s="2"/>
      <c r="H33" s="2"/>
      <c r="I33" s="1"/>
      <c r="J33" s="43">
        <f>IF(B33="","-",DATE(YEAR(B33),MONTH(B33),1))</f>
        <v>45047</v>
      </c>
      <c r="K33" s="47">
        <f>D33-C33-E33</f>
        <v>0.16666666666666674</v>
      </c>
      <c r="L33" s="47">
        <f>MAX(0,D33-TIME(22,0,0))</f>
        <v>4.1666666666666741E-2</v>
      </c>
      <c r="M33" s="47">
        <f>G33-F33-H33</f>
        <v>0</v>
      </c>
    </row>
    <row r="34" spans="1:13">
      <c r="A34" s="24" t="s">
        <v>110</v>
      </c>
      <c r="B34" s="3">
        <v>45080</v>
      </c>
      <c r="C34" s="2">
        <v>0.79166666666666663</v>
      </c>
      <c r="D34" s="2">
        <v>0.95833333333333337</v>
      </c>
      <c r="E34" s="2"/>
      <c r="F34" s="2"/>
      <c r="G34" s="2"/>
      <c r="H34" s="2"/>
      <c r="I34" s="1"/>
      <c r="J34" s="43">
        <f>IF(B34="","-",DATE(YEAR(B34),MONTH(B34),1))</f>
        <v>45078</v>
      </c>
      <c r="K34" s="47">
        <f>D34-C34-E34</f>
        <v>0.16666666666666674</v>
      </c>
      <c r="L34" s="47">
        <f>MAX(0,D34-TIME(22,0,0))</f>
        <v>4.1666666666666741E-2</v>
      </c>
      <c r="M34" s="47">
        <f>G34-F34-H34</f>
        <v>0</v>
      </c>
    </row>
    <row r="35" spans="1:13">
      <c r="A35" s="24" t="s">
        <v>110</v>
      </c>
      <c r="B35" s="3">
        <v>45081</v>
      </c>
      <c r="C35" s="2">
        <v>0.79166666666666663</v>
      </c>
      <c r="D35" s="2">
        <v>0.95833333333333337</v>
      </c>
      <c r="E35" s="2"/>
      <c r="F35" s="2">
        <v>0.41666666666666669</v>
      </c>
      <c r="G35" s="2">
        <v>0.70833333333333337</v>
      </c>
      <c r="H35" s="2"/>
      <c r="I35" s="1"/>
      <c r="J35" s="43">
        <f>IF(B35="","-",DATE(YEAR(B35),MONTH(B35),1))</f>
        <v>45078</v>
      </c>
      <c r="K35" s="47">
        <f>D35-C35-E35</f>
        <v>0.16666666666666674</v>
      </c>
      <c r="L35" s="47">
        <f>MAX(0,D35-TIME(22,0,0))</f>
        <v>4.1666666666666741E-2</v>
      </c>
      <c r="M35" s="47">
        <f>G35-F35-H35</f>
        <v>0.29166666666666669</v>
      </c>
    </row>
    <row r="36" spans="1:13">
      <c r="A36" s="24" t="s">
        <v>110</v>
      </c>
      <c r="B36" s="3">
        <v>45083</v>
      </c>
      <c r="C36" s="2">
        <v>0.79166666666666663</v>
      </c>
      <c r="D36" s="2">
        <v>0.95833333333333337</v>
      </c>
      <c r="E36" s="2"/>
      <c r="F36" s="2"/>
      <c r="G36" s="2"/>
      <c r="H36" s="2"/>
      <c r="I36" s="1"/>
      <c r="J36" s="43">
        <f>IF(B36="","-",DATE(YEAR(B36),MONTH(B36),1))</f>
        <v>45078</v>
      </c>
      <c r="K36" s="47">
        <f>D36-C36-E36</f>
        <v>0.16666666666666674</v>
      </c>
      <c r="L36" s="47">
        <f>MAX(0,D36-TIME(22,0,0))</f>
        <v>4.1666666666666741E-2</v>
      </c>
      <c r="M36" s="47">
        <f>G36-F36-H36</f>
        <v>0</v>
      </c>
    </row>
    <row r="37" spans="1:13">
      <c r="A37" s="24" t="s">
        <v>110</v>
      </c>
      <c r="B37" s="3">
        <v>45090</v>
      </c>
      <c r="C37" s="2">
        <v>0.79166666666666663</v>
      </c>
      <c r="D37" s="2">
        <v>0.95833333333333337</v>
      </c>
      <c r="E37" s="2"/>
      <c r="F37" s="2"/>
      <c r="G37" s="2"/>
      <c r="H37" s="2"/>
      <c r="I37" s="1"/>
      <c r="J37" s="43">
        <f>IF(B37="","-",DATE(YEAR(B37),MONTH(B37),1))</f>
        <v>45078</v>
      </c>
      <c r="K37" s="47">
        <f>D37-C37-E37</f>
        <v>0.16666666666666674</v>
      </c>
      <c r="L37" s="47">
        <f>MAX(0,D37-TIME(22,0,0))</f>
        <v>4.1666666666666741E-2</v>
      </c>
      <c r="M37" s="47">
        <f>G37-F37-H37</f>
        <v>0</v>
      </c>
    </row>
    <row r="38" spans="1:13">
      <c r="A38" s="24" t="s">
        <v>110</v>
      </c>
      <c r="B38" s="3">
        <v>45097</v>
      </c>
      <c r="C38" s="2">
        <v>0.79166666666666663</v>
      </c>
      <c r="D38" s="2">
        <v>0.95833333333333337</v>
      </c>
      <c r="E38" s="2"/>
      <c r="F38" s="2"/>
      <c r="G38" s="2"/>
      <c r="H38" s="2"/>
      <c r="I38" s="1"/>
      <c r="J38" s="43">
        <f>IF(B38="","-",DATE(YEAR(B38),MONTH(B38),1))</f>
        <v>45078</v>
      </c>
      <c r="K38" s="47">
        <f>D38-C38-E38</f>
        <v>0.16666666666666674</v>
      </c>
      <c r="L38" s="47">
        <f>MAX(0,D38-TIME(22,0,0))</f>
        <v>4.1666666666666741E-2</v>
      </c>
      <c r="M38" s="47">
        <f>G38-F38-H38</f>
        <v>0</v>
      </c>
    </row>
    <row r="39" spans="1:13">
      <c r="A39" s="24" t="s">
        <v>110</v>
      </c>
      <c r="B39" s="3">
        <v>45104</v>
      </c>
      <c r="C39" s="2">
        <v>0.79166666666666663</v>
      </c>
      <c r="D39" s="2">
        <v>0.95833333333333337</v>
      </c>
      <c r="E39" s="2"/>
      <c r="F39" s="2"/>
      <c r="G39" s="2"/>
      <c r="H39" s="2"/>
      <c r="I39" s="1"/>
      <c r="J39" s="43">
        <f>IF(B39="","-",DATE(YEAR(B39),MONTH(B39),1))</f>
        <v>45078</v>
      </c>
      <c r="K39" s="47">
        <f>D39-C39-E39</f>
        <v>0.16666666666666674</v>
      </c>
      <c r="L39" s="47">
        <f>MAX(0,D39-TIME(22,0,0))</f>
        <v>4.1666666666666741E-2</v>
      </c>
      <c r="M39" s="47">
        <f>G39-F39-H39</f>
        <v>0</v>
      </c>
    </row>
    <row r="40" spans="1:13">
      <c r="A40" s="24" t="s">
        <v>111</v>
      </c>
      <c r="B40" s="3">
        <v>45023</v>
      </c>
      <c r="C40" s="2">
        <v>0.79166666666666663</v>
      </c>
      <c r="D40" s="2">
        <v>0.95833333333333337</v>
      </c>
      <c r="E40" s="2"/>
      <c r="F40" s="2"/>
      <c r="G40" s="2"/>
      <c r="H40" s="2"/>
      <c r="I40" s="1"/>
      <c r="J40" s="43">
        <f>IF(B40="","-",DATE(YEAR(B40),MONTH(B40),1))</f>
        <v>45017</v>
      </c>
      <c r="K40" s="47">
        <f>D40-C40-E40</f>
        <v>0.16666666666666674</v>
      </c>
      <c r="L40" s="47">
        <f>MAX(0,D40-TIME(22,0,0))</f>
        <v>4.1666666666666741E-2</v>
      </c>
      <c r="M40" s="47">
        <f>G40-F40-H40</f>
        <v>0</v>
      </c>
    </row>
    <row r="41" spans="1:13">
      <c r="A41" s="24" t="s">
        <v>111</v>
      </c>
      <c r="B41" s="3">
        <v>45028</v>
      </c>
      <c r="C41" s="2">
        <v>0.79166666666666663</v>
      </c>
      <c r="D41" s="2">
        <v>0.95833333333333337</v>
      </c>
      <c r="E41" s="2"/>
      <c r="F41" s="2"/>
      <c r="G41" s="2"/>
      <c r="H41" s="2"/>
      <c r="I41" s="1"/>
      <c r="J41" s="43">
        <f>IF(B41="","-",DATE(YEAR(B41),MONTH(B41),1))</f>
        <v>45017</v>
      </c>
      <c r="K41" s="47">
        <f>D41-C41-E41</f>
        <v>0.16666666666666674</v>
      </c>
      <c r="L41" s="47">
        <f>MAX(0,D41-TIME(22,0,0))</f>
        <v>4.1666666666666741E-2</v>
      </c>
      <c r="M41" s="47">
        <f>G41-F41-H41</f>
        <v>0</v>
      </c>
    </row>
    <row r="42" spans="1:13">
      <c r="A42" s="24" t="s">
        <v>111</v>
      </c>
      <c r="B42" s="3">
        <v>45045</v>
      </c>
      <c r="C42" s="2">
        <v>0.79166666666666663</v>
      </c>
      <c r="D42" s="2">
        <v>0.95833333333333337</v>
      </c>
      <c r="E42" s="2"/>
      <c r="F42" s="2">
        <v>0.41666666666666669</v>
      </c>
      <c r="G42" s="2">
        <v>0.70833333333333337</v>
      </c>
      <c r="H42" s="2"/>
      <c r="I42" s="1"/>
      <c r="J42" s="43">
        <f>IF(B42="","-",DATE(YEAR(B42),MONTH(B42),1))</f>
        <v>45017</v>
      </c>
      <c r="K42" s="47">
        <f>D42-C42-E42</f>
        <v>0.16666666666666674</v>
      </c>
      <c r="L42" s="47">
        <f>MAX(0,D42-TIME(22,0,0))</f>
        <v>4.1666666666666741E-2</v>
      </c>
      <c r="M42" s="47">
        <f>G42-F42-H42</f>
        <v>0.29166666666666669</v>
      </c>
    </row>
    <row r="43" spans="1:13">
      <c r="A43" s="24" t="s">
        <v>111</v>
      </c>
      <c r="B43" s="3">
        <v>45050</v>
      </c>
      <c r="C43" s="2">
        <v>0.79166666666666663</v>
      </c>
      <c r="D43" s="2">
        <v>0.95833333333333337</v>
      </c>
      <c r="E43" s="2"/>
      <c r="F43" s="2">
        <v>0.41666666666666669</v>
      </c>
      <c r="G43" s="2">
        <v>0.70833333333333337</v>
      </c>
      <c r="H43" s="2"/>
      <c r="I43" s="1"/>
      <c r="J43" s="43">
        <f>IF(B43="","-",DATE(YEAR(B43),MONTH(B43),1))</f>
        <v>45047</v>
      </c>
      <c r="K43" s="47">
        <f>D43-C43-E43</f>
        <v>0.16666666666666674</v>
      </c>
      <c r="L43" s="47">
        <f>MAX(0,D43-TIME(22,0,0))</f>
        <v>4.1666666666666741E-2</v>
      </c>
      <c r="M43" s="47">
        <f>G43-F43-H43</f>
        <v>0.29166666666666669</v>
      </c>
    </row>
    <row r="44" spans="1:13">
      <c r="A44" s="24" t="s">
        <v>111</v>
      </c>
      <c r="B44" s="3">
        <v>45056</v>
      </c>
      <c r="C44" s="2">
        <v>0.79166666666666663</v>
      </c>
      <c r="D44" s="2">
        <v>0.95833333333333337</v>
      </c>
      <c r="E44" s="2"/>
      <c r="F44" s="2"/>
      <c r="G44" s="2"/>
      <c r="H44" s="2"/>
      <c r="I44" s="1"/>
      <c r="J44" s="43">
        <f>IF(B44="","-",DATE(YEAR(B44),MONTH(B44),1))</f>
        <v>45047</v>
      </c>
      <c r="K44" s="47">
        <f>D44-C44-E44</f>
        <v>0.16666666666666674</v>
      </c>
      <c r="L44" s="47">
        <f>MAX(0,D44-TIME(22,0,0))</f>
        <v>4.1666666666666741E-2</v>
      </c>
      <c r="M44" s="47">
        <f>G44-F44-H44</f>
        <v>0</v>
      </c>
    </row>
    <row r="45" spans="1:13">
      <c r="A45" s="24" t="s">
        <v>111</v>
      </c>
      <c r="B45" s="3">
        <v>45067</v>
      </c>
      <c r="C45" s="2"/>
      <c r="D45" s="2"/>
      <c r="E45" s="2"/>
      <c r="F45" s="2">
        <v>0.41666666666666669</v>
      </c>
      <c r="G45" s="2">
        <v>0.70833333333333337</v>
      </c>
      <c r="H45" s="2"/>
      <c r="I45" s="1"/>
      <c r="J45" s="43">
        <f>IF(B45="","-",DATE(YEAR(B45),MONTH(B45),1))</f>
        <v>45047</v>
      </c>
      <c r="K45" s="47">
        <f>D45-C45-E45</f>
        <v>0</v>
      </c>
      <c r="L45" s="47">
        <f>MAX(0,D45-TIME(22,0,0))</f>
        <v>0</v>
      </c>
      <c r="M45" s="47">
        <f>G45-F45-H45</f>
        <v>0.29166666666666669</v>
      </c>
    </row>
    <row r="46" spans="1:13">
      <c r="A46" s="24" t="s">
        <v>111</v>
      </c>
      <c r="B46" s="3">
        <v>45073</v>
      </c>
      <c r="C46" s="2">
        <v>0.79166666666666663</v>
      </c>
      <c r="D46" s="2">
        <v>0.95833333333333337</v>
      </c>
      <c r="E46" s="2"/>
      <c r="F46" s="2"/>
      <c r="G46" s="2"/>
      <c r="H46" s="2"/>
      <c r="I46" s="1"/>
      <c r="J46" s="43">
        <f>IF(B46="","-",DATE(YEAR(B46),MONTH(B46),1))</f>
        <v>45047</v>
      </c>
      <c r="K46" s="47">
        <f>D46-C46-E46</f>
        <v>0.16666666666666674</v>
      </c>
      <c r="L46" s="47">
        <f>MAX(0,D46-TIME(22,0,0))</f>
        <v>4.1666666666666741E-2</v>
      </c>
      <c r="M46" s="47">
        <f>G46-F46-H46</f>
        <v>0</v>
      </c>
    </row>
    <row r="47" spans="1:13">
      <c r="A47" s="24" t="s">
        <v>111</v>
      </c>
      <c r="B47" s="3">
        <v>45078</v>
      </c>
      <c r="C47" s="2">
        <v>0.79166666666666663</v>
      </c>
      <c r="D47" s="2">
        <v>0.95833333333333337</v>
      </c>
      <c r="E47" s="2"/>
      <c r="F47" s="2"/>
      <c r="G47" s="2"/>
      <c r="H47" s="2"/>
      <c r="I47" s="1"/>
      <c r="J47" s="43">
        <f>IF(B47="","-",DATE(YEAR(B47),MONTH(B47),1))</f>
        <v>45078</v>
      </c>
      <c r="K47" s="47">
        <f>D47-C47-E47</f>
        <v>0.16666666666666674</v>
      </c>
      <c r="L47" s="47">
        <f>MAX(0,D47-TIME(22,0,0))</f>
        <v>4.1666666666666741E-2</v>
      </c>
      <c r="M47" s="47">
        <f>G47-F47-H47</f>
        <v>0</v>
      </c>
    </row>
    <row r="48" spans="1:13">
      <c r="A48" s="24" t="s">
        <v>111</v>
      </c>
      <c r="B48" s="3">
        <v>45095</v>
      </c>
      <c r="C48" s="2"/>
      <c r="D48" s="2"/>
      <c r="E48" s="2"/>
      <c r="F48" s="2">
        <v>0.41666666666666669</v>
      </c>
      <c r="G48" s="2">
        <v>0.70833333333333337</v>
      </c>
      <c r="H48" s="2"/>
      <c r="I48" s="1"/>
      <c r="J48" s="43">
        <f>IF(B48="","-",DATE(YEAR(B48),MONTH(B48),1))</f>
        <v>45078</v>
      </c>
      <c r="K48" s="47">
        <f>D48-C48-E48</f>
        <v>0</v>
      </c>
      <c r="L48" s="47">
        <f>MAX(0,D48-TIME(22,0,0))</f>
        <v>0</v>
      </c>
      <c r="M48" s="47">
        <f>G48-F48-H48</f>
        <v>0.29166666666666669</v>
      </c>
    </row>
    <row r="49" spans="1:13">
      <c r="A49" s="24" t="s">
        <v>111</v>
      </c>
      <c r="B49" s="3">
        <v>45101</v>
      </c>
      <c r="C49" s="2">
        <v>0.79166666666666663</v>
      </c>
      <c r="D49" s="2">
        <v>0.95833333333333337</v>
      </c>
      <c r="E49" s="2"/>
      <c r="F49" s="2"/>
      <c r="G49" s="2"/>
      <c r="H49" s="2"/>
      <c r="I49" s="1"/>
      <c r="J49" s="43">
        <f>IF(B49="","-",DATE(YEAR(B49),MONTH(B49),1))</f>
        <v>45078</v>
      </c>
      <c r="K49" s="47">
        <f>D49-C49-E49</f>
        <v>0.16666666666666674</v>
      </c>
      <c r="L49" s="47">
        <f>MAX(0,D49-TIME(22,0,0))</f>
        <v>4.1666666666666741E-2</v>
      </c>
      <c r="M49" s="47">
        <f>G49-F49-H49</f>
        <v>0</v>
      </c>
    </row>
    <row r="50" spans="1:13">
      <c r="A50" s="24" t="s">
        <v>111</v>
      </c>
      <c r="B50" s="3">
        <v>45105</v>
      </c>
      <c r="C50" s="2">
        <v>0.79166666666666663</v>
      </c>
      <c r="D50" s="2">
        <v>0.95833333333333337</v>
      </c>
      <c r="E50" s="2"/>
      <c r="F50" s="2"/>
      <c r="G50" s="2"/>
      <c r="H50" s="2"/>
      <c r="I50" s="1"/>
      <c r="J50" s="43">
        <f>IF(B50="","-",DATE(YEAR(B50),MONTH(B50),1))</f>
        <v>45078</v>
      </c>
      <c r="K50" s="47">
        <f>D50-C50-E50</f>
        <v>0.16666666666666674</v>
      </c>
      <c r="L50" s="47">
        <f>MAX(0,D50-TIME(22,0,0))</f>
        <v>4.1666666666666741E-2</v>
      </c>
      <c r="M50" s="47">
        <f>G50-F50-H50</f>
        <v>0</v>
      </c>
    </row>
    <row r="51" spans="1:13">
      <c r="A51" s="24" t="s">
        <v>112</v>
      </c>
      <c r="B51" s="3">
        <v>45060</v>
      </c>
      <c r="C51" s="2"/>
      <c r="D51" s="2"/>
      <c r="E51" s="2"/>
      <c r="F51" s="2">
        <v>0.41666666666666669</v>
      </c>
      <c r="G51" s="2">
        <v>0.70833333333333337</v>
      </c>
      <c r="H51" s="2"/>
      <c r="I51" s="1"/>
      <c r="J51" s="43">
        <f>IF(B51="","-",DATE(YEAR(B51),MONTH(B51),1))</f>
        <v>45047</v>
      </c>
      <c r="K51" s="47">
        <f>D51-C51-E51</f>
        <v>0</v>
      </c>
      <c r="L51" s="47">
        <f>MAX(0,D51-TIME(22,0,0))</f>
        <v>0</v>
      </c>
      <c r="M51" s="47">
        <f>G51-F51-H51</f>
        <v>0.29166666666666669</v>
      </c>
    </row>
    <row r="52" spans="1:13">
      <c r="A52" s="24" t="s">
        <v>113</v>
      </c>
      <c r="B52" s="3">
        <v>45050</v>
      </c>
      <c r="C52" s="2"/>
      <c r="D52" s="2"/>
      <c r="E52" s="2"/>
      <c r="F52" s="2">
        <v>0.41666666666666669</v>
      </c>
      <c r="G52" s="2">
        <v>0.70833333333333337</v>
      </c>
      <c r="H52" s="2"/>
      <c r="I52" s="1"/>
      <c r="J52" s="43">
        <f>IF(B52="","-",DATE(YEAR(B52),MONTH(B52),1))</f>
        <v>45047</v>
      </c>
      <c r="K52" s="47">
        <f>D52-C52-E52</f>
        <v>0</v>
      </c>
      <c r="L52" s="47">
        <f>MAX(0,D52-TIME(22,0,0))</f>
        <v>0</v>
      </c>
      <c r="M52" s="47">
        <f>G52-F52-H52</f>
        <v>0.29166666666666669</v>
      </c>
    </row>
    <row r="53" spans="1:13">
      <c r="A53" s="24" t="s">
        <v>114</v>
      </c>
      <c r="B53" s="3">
        <v>45102</v>
      </c>
      <c r="C53" s="2">
        <v>0.79166666666666663</v>
      </c>
      <c r="D53" s="2">
        <v>0.95833333333333337</v>
      </c>
      <c r="E53" s="2"/>
      <c r="F53" s="2"/>
      <c r="G53" s="2"/>
      <c r="H53" s="2"/>
      <c r="I53" s="1"/>
      <c r="J53" s="43">
        <f>IF(B53="","-",DATE(YEAR(B53),MONTH(B53),1))</f>
        <v>45078</v>
      </c>
      <c r="K53" s="47">
        <f>D53-C53-E53</f>
        <v>0.16666666666666674</v>
      </c>
      <c r="L53" s="47">
        <f>MAX(0,D53-TIME(22,0,0))</f>
        <v>4.1666666666666741E-2</v>
      </c>
      <c r="M53" s="47">
        <f>G53-F53-H53</f>
        <v>0</v>
      </c>
    </row>
    <row r="54" spans="1:13">
      <c r="A54" s="24" t="s">
        <v>115</v>
      </c>
      <c r="B54" s="3">
        <v>45019</v>
      </c>
      <c r="C54" s="2">
        <v>0.79166666666666663</v>
      </c>
      <c r="D54" s="2">
        <v>0.95833333333333337</v>
      </c>
      <c r="E54" s="2"/>
      <c r="F54" s="2"/>
      <c r="G54" s="2"/>
      <c r="H54" s="2"/>
      <c r="I54" s="1"/>
      <c r="J54" s="43">
        <f>IF(B54="","-",DATE(YEAR(B54),MONTH(B54),1))</f>
        <v>45017</v>
      </c>
      <c r="K54" s="47">
        <f>D54-C54-E54</f>
        <v>0.16666666666666674</v>
      </c>
      <c r="L54" s="47">
        <f>MAX(0,D54-TIME(22,0,0))</f>
        <v>4.1666666666666741E-2</v>
      </c>
      <c r="M54" s="47">
        <f>G54-F54-H54</f>
        <v>0</v>
      </c>
    </row>
    <row r="55" spans="1:13">
      <c r="A55" s="24" t="s">
        <v>115</v>
      </c>
      <c r="B55" s="3">
        <v>45022</v>
      </c>
      <c r="C55" s="2">
        <v>0.79166666666666663</v>
      </c>
      <c r="D55" s="2">
        <v>0.95833333333333337</v>
      </c>
      <c r="E55" s="2"/>
      <c r="F55" s="2"/>
      <c r="G55" s="2"/>
      <c r="H55" s="2"/>
      <c r="I55" s="1"/>
      <c r="J55" s="43">
        <f>IF(B55="","-",DATE(YEAR(B55),MONTH(B55),1))</f>
        <v>45017</v>
      </c>
      <c r="K55" s="47">
        <f>D55-C55-E55</f>
        <v>0.16666666666666674</v>
      </c>
      <c r="L55" s="47">
        <f>MAX(0,D55-TIME(22,0,0))</f>
        <v>4.1666666666666741E-2</v>
      </c>
      <c r="M55" s="47">
        <f>G55-F55-H55</f>
        <v>0</v>
      </c>
    </row>
    <row r="56" spans="1:13">
      <c r="A56" s="24" t="s">
        <v>115</v>
      </c>
      <c r="B56" s="3">
        <v>45031</v>
      </c>
      <c r="C56" s="2">
        <v>0.79166666666666663</v>
      </c>
      <c r="D56" s="2">
        <v>0.95833333333333337</v>
      </c>
      <c r="E56" s="2"/>
      <c r="F56" s="2"/>
      <c r="G56" s="2"/>
      <c r="H56" s="2"/>
      <c r="I56" s="1"/>
      <c r="J56" s="43">
        <f>IF(B56="","-",DATE(YEAR(B56),MONTH(B56),1))</f>
        <v>45017</v>
      </c>
      <c r="K56" s="47">
        <f>D56-C56-E56</f>
        <v>0.16666666666666674</v>
      </c>
      <c r="L56" s="47">
        <f>MAX(0,D56-TIME(22,0,0))</f>
        <v>4.1666666666666741E-2</v>
      </c>
      <c r="M56" s="47">
        <f>G56-F56-H56</f>
        <v>0</v>
      </c>
    </row>
    <row r="57" spans="1:13">
      <c r="A57" s="24" t="s">
        <v>115</v>
      </c>
      <c r="B57" s="3">
        <v>45046</v>
      </c>
      <c r="C57" s="2">
        <v>0.79166666666666663</v>
      </c>
      <c r="D57" s="2">
        <v>0.95833333333333337</v>
      </c>
      <c r="E57" s="2"/>
      <c r="F57" s="2"/>
      <c r="G57" s="2"/>
      <c r="H57" s="2"/>
      <c r="I57" s="1"/>
      <c r="J57" s="43">
        <f>IF(B57="","-",DATE(YEAR(B57),MONTH(B57),1))</f>
        <v>45017</v>
      </c>
      <c r="K57" s="47">
        <f>D57-C57-E57</f>
        <v>0.16666666666666674</v>
      </c>
      <c r="L57" s="47">
        <f>MAX(0,D57-TIME(22,0,0))</f>
        <v>4.1666666666666741E-2</v>
      </c>
      <c r="M57" s="47">
        <f>G57-F57-H57</f>
        <v>0</v>
      </c>
    </row>
    <row r="58" spans="1:13">
      <c r="A58" s="24" t="s">
        <v>115</v>
      </c>
      <c r="B58" s="3">
        <v>45049</v>
      </c>
      <c r="C58" s="2">
        <v>0.79166666666666663</v>
      </c>
      <c r="D58" s="2">
        <v>0.95833333333333337</v>
      </c>
      <c r="E58" s="2"/>
      <c r="F58" s="2">
        <v>0.41666666666666669</v>
      </c>
      <c r="G58" s="2">
        <v>0.70833333333333337</v>
      </c>
      <c r="H58" s="2"/>
      <c r="I58" s="1"/>
      <c r="J58" s="43">
        <f>IF(B58="","-",DATE(YEAR(B58),MONTH(B58),1))</f>
        <v>45047</v>
      </c>
      <c r="K58" s="47">
        <f>D58-C58-E58</f>
        <v>0.16666666666666674</v>
      </c>
      <c r="L58" s="47">
        <f>MAX(0,D58-TIME(22,0,0))</f>
        <v>4.1666666666666741E-2</v>
      </c>
      <c r="M58" s="47">
        <f>G58-F58-H58</f>
        <v>0.29166666666666669</v>
      </c>
    </row>
    <row r="59" spans="1:13">
      <c r="A59" s="24" t="s">
        <v>115</v>
      </c>
      <c r="B59" s="3">
        <v>45057</v>
      </c>
      <c r="C59" s="2">
        <v>0.79166666666666663</v>
      </c>
      <c r="D59" s="2">
        <v>0.95833333333333337</v>
      </c>
      <c r="E59" s="2"/>
      <c r="F59" s="2"/>
      <c r="G59" s="2"/>
      <c r="H59" s="2"/>
      <c r="I59" s="1"/>
      <c r="J59" s="43">
        <f>IF(B59="","-",DATE(YEAR(B59),MONTH(B59),1))</f>
        <v>45047</v>
      </c>
      <c r="K59" s="47">
        <f>D59-C59-E59</f>
        <v>0.16666666666666674</v>
      </c>
      <c r="L59" s="47">
        <f>MAX(0,D59-TIME(22,0,0))</f>
        <v>4.1666666666666741E-2</v>
      </c>
      <c r="M59" s="47">
        <f>G59-F59-H59</f>
        <v>0</v>
      </c>
    </row>
    <row r="60" spans="1:13">
      <c r="A60" s="24" t="s">
        <v>115</v>
      </c>
      <c r="B60" s="3">
        <v>45059</v>
      </c>
      <c r="C60" s="2">
        <v>0.79166666666666663</v>
      </c>
      <c r="D60" s="2">
        <v>0.95833333333333337</v>
      </c>
      <c r="E60" s="2"/>
      <c r="F60" s="2"/>
      <c r="G60" s="2"/>
      <c r="H60" s="2"/>
      <c r="I60" s="1"/>
      <c r="J60" s="43">
        <f>IF(B60="","-",DATE(YEAR(B60),MONTH(B60),1))</f>
        <v>45047</v>
      </c>
      <c r="K60" s="47">
        <f>D60-C60-E60</f>
        <v>0.16666666666666674</v>
      </c>
      <c r="L60" s="47">
        <f>MAX(0,D60-TIME(22,0,0))</f>
        <v>4.1666666666666741E-2</v>
      </c>
      <c r="M60" s="47">
        <f>G60-F60-H60</f>
        <v>0</v>
      </c>
    </row>
    <row r="61" spans="1:13">
      <c r="A61" s="24" t="s">
        <v>115</v>
      </c>
      <c r="B61" s="3">
        <v>45066</v>
      </c>
      <c r="C61" s="2">
        <v>0.79166666666666663</v>
      </c>
      <c r="D61" s="2">
        <v>0.95833333333333337</v>
      </c>
      <c r="E61" s="2"/>
      <c r="F61" s="2"/>
      <c r="G61" s="2"/>
      <c r="H61" s="2"/>
      <c r="I61" s="1"/>
      <c r="J61" s="43">
        <f>IF(B61="","-",DATE(YEAR(B61),MONTH(B61),1))</f>
        <v>45047</v>
      </c>
      <c r="K61" s="47">
        <f>D61-C61-E61</f>
        <v>0.16666666666666674</v>
      </c>
      <c r="L61" s="47">
        <f>MAX(0,D61-TIME(22,0,0))</f>
        <v>4.1666666666666741E-2</v>
      </c>
      <c r="M61" s="47">
        <f>G61-F61-H61</f>
        <v>0</v>
      </c>
    </row>
    <row r="62" spans="1:13">
      <c r="A62" s="24" t="s">
        <v>115</v>
      </c>
      <c r="B62" s="3">
        <v>45079</v>
      </c>
      <c r="C62" s="2">
        <v>0.79166666666666663</v>
      </c>
      <c r="D62" s="2">
        <v>0.95833333333333337</v>
      </c>
      <c r="E62" s="2"/>
      <c r="F62" s="2"/>
      <c r="G62" s="2"/>
      <c r="H62" s="2"/>
      <c r="I62" s="1"/>
      <c r="J62" s="43">
        <f>IF(B62="","-",DATE(YEAR(B62),MONTH(B62),1))</f>
        <v>45078</v>
      </c>
      <c r="K62" s="47">
        <f>D62-C62-E62</f>
        <v>0.16666666666666674</v>
      </c>
      <c r="L62" s="47">
        <f>MAX(0,D62-TIME(22,0,0))</f>
        <v>4.1666666666666741E-2</v>
      </c>
      <c r="M62" s="47">
        <f>G62-F62-H62</f>
        <v>0</v>
      </c>
    </row>
    <row r="63" spans="1:13">
      <c r="A63" s="24" t="s">
        <v>115</v>
      </c>
      <c r="B63" s="3">
        <v>45085</v>
      </c>
      <c r="C63" s="2">
        <v>0.79166666666666663</v>
      </c>
      <c r="D63" s="2">
        <v>0.95833333333333337</v>
      </c>
      <c r="E63" s="2"/>
      <c r="F63" s="2"/>
      <c r="G63" s="2"/>
      <c r="H63" s="2"/>
      <c r="I63" s="1"/>
      <c r="J63" s="43">
        <f>IF(B63="","-",DATE(YEAR(B63),MONTH(B63),1))</f>
        <v>45078</v>
      </c>
      <c r="K63" s="47">
        <f>D63-C63-E63</f>
        <v>0.16666666666666674</v>
      </c>
      <c r="L63" s="47">
        <f>MAX(0,D63-TIME(22,0,0))</f>
        <v>4.1666666666666741E-2</v>
      </c>
      <c r="M63" s="47">
        <f>G63-F63-H63</f>
        <v>0</v>
      </c>
    </row>
    <row r="64" spans="1:13">
      <c r="A64" s="24" t="s">
        <v>115</v>
      </c>
      <c r="B64" s="3">
        <v>45092</v>
      </c>
      <c r="C64" s="2">
        <v>0.79166666666666663</v>
      </c>
      <c r="D64" s="2">
        <v>0.95833333333333337</v>
      </c>
      <c r="E64" s="2"/>
      <c r="F64" s="2"/>
      <c r="G64" s="2"/>
      <c r="H64" s="2"/>
      <c r="I64" s="1"/>
      <c r="J64" s="43">
        <f>IF(B64="","-",DATE(YEAR(B64),MONTH(B64),1))</f>
        <v>45078</v>
      </c>
      <c r="K64" s="47">
        <f>D64-C64-E64</f>
        <v>0.16666666666666674</v>
      </c>
      <c r="L64" s="47">
        <f>MAX(0,D64-TIME(22,0,0))</f>
        <v>4.1666666666666741E-2</v>
      </c>
      <c r="M64" s="47">
        <f>G64-F64-H64</f>
        <v>0</v>
      </c>
    </row>
    <row r="65" spans="1:13">
      <c r="A65" s="24" t="s">
        <v>115</v>
      </c>
      <c r="B65" s="3">
        <v>45096</v>
      </c>
      <c r="C65" s="2">
        <v>0.79166666666666663</v>
      </c>
      <c r="D65" s="2">
        <v>0.95833333333333337</v>
      </c>
      <c r="E65" s="2"/>
      <c r="F65" s="2"/>
      <c r="G65" s="2"/>
      <c r="H65" s="2"/>
      <c r="I65" s="1"/>
      <c r="J65" s="43">
        <f>IF(B65="","-",DATE(YEAR(B65),MONTH(B65),1))</f>
        <v>45078</v>
      </c>
      <c r="K65" s="47">
        <f>D65-C65-E65</f>
        <v>0.16666666666666674</v>
      </c>
      <c r="L65" s="47">
        <f>MAX(0,D65-TIME(22,0,0))</f>
        <v>4.1666666666666741E-2</v>
      </c>
      <c r="M65" s="47">
        <f>G65-F65-H65</f>
        <v>0</v>
      </c>
    </row>
    <row r="66" spans="1:13">
      <c r="A66" s="24" t="s">
        <v>116</v>
      </c>
      <c r="B66" s="3">
        <v>45032</v>
      </c>
      <c r="C66" s="2"/>
      <c r="D66" s="2"/>
      <c r="E66" s="2"/>
      <c r="F66" s="2">
        <v>0.41666666666666669</v>
      </c>
      <c r="G66" s="2">
        <v>0.70833333333333337</v>
      </c>
      <c r="H66" s="2"/>
      <c r="I66" s="1"/>
      <c r="J66" s="43">
        <f>IF(B66="","-",DATE(YEAR(B66),MONTH(B66),1))</f>
        <v>45017</v>
      </c>
      <c r="K66" s="47">
        <f>D66-C66-E66</f>
        <v>0</v>
      </c>
      <c r="L66" s="47">
        <f>MAX(0,D66-TIME(22,0,0))</f>
        <v>0</v>
      </c>
      <c r="M66" s="47">
        <f>G66-F66-H66</f>
        <v>0.29166666666666669</v>
      </c>
    </row>
    <row r="67" spans="1:13">
      <c r="A67" s="24" t="s">
        <v>117</v>
      </c>
      <c r="B67" s="3">
        <v>45038</v>
      </c>
      <c r="C67" s="2">
        <v>0.79166666666666663</v>
      </c>
      <c r="D67" s="2">
        <v>0.95833333333333337</v>
      </c>
      <c r="E67" s="2"/>
      <c r="F67" s="2"/>
      <c r="G67" s="2"/>
      <c r="H67" s="2"/>
      <c r="I67" s="1"/>
      <c r="J67" s="43">
        <f>IF(B67="","-",DATE(YEAR(B67),MONTH(B67),1))</f>
        <v>45017</v>
      </c>
      <c r="K67" s="47">
        <f>D67-C67-E67</f>
        <v>0.16666666666666674</v>
      </c>
      <c r="L67" s="47">
        <f>MAX(0,D67-TIME(22,0,0))</f>
        <v>4.1666666666666741E-2</v>
      </c>
      <c r="M67" s="47">
        <f>G67-F67-H67</f>
        <v>0</v>
      </c>
    </row>
    <row r="68" spans="1:13">
      <c r="A68" s="24" t="s">
        <v>117</v>
      </c>
      <c r="B68" s="3">
        <v>45045</v>
      </c>
      <c r="C68" s="2"/>
      <c r="D68" s="2"/>
      <c r="E68" s="2"/>
      <c r="F68" s="2">
        <v>0.41666666666666669</v>
      </c>
      <c r="G68" s="2">
        <v>0.70833333333333337</v>
      </c>
      <c r="H68" s="2"/>
      <c r="I68" s="1"/>
      <c r="J68" s="43">
        <f>IF(B68="","-",DATE(YEAR(B68),MONTH(B68),1))</f>
        <v>45017</v>
      </c>
      <c r="K68" s="47">
        <f>D68-C68-E68</f>
        <v>0</v>
      </c>
      <c r="L68" s="47">
        <f>MAX(0,D68-TIME(22,0,0))</f>
        <v>0</v>
      </c>
      <c r="M68" s="47">
        <f>G68-F68-H68</f>
        <v>0.29166666666666669</v>
      </c>
    </row>
    <row r="69" spans="1:13">
      <c r="A69" s="24" t="s">
        <v>117</v>
      </c>
      <c r="B69" s="3">
        <v>45047</v>
      </c>
      <c r="C69" s="2">
        <v>0.79166666666666663</v>
      </c>
      <c r="D69" s="2">
        <v>0.95833333333333337</v>
      </c>
      <c r="E69" s="2"/>
      <c r="F69" s="2"/>
      <c r="G69" s="2"/>
      <c r="H69" s="2"/>
      <c r="I69" s="1"/>
      <c r="J69" s="43">
        <f>IF(B69="","-",DATE(YEAR(B69),MONTH(B69),1))</f>
        <v>45047</v>
      </c>
      <c r="K69" s="47">
        <f>D69-C69-E69</f>
        <v>0.16666666666666674</v>
      </c>
      <c r="L69" s="47">
        <f>MAX(0,D69-TIME(22,0,0))</f>
        <v>4.1666666666666741E-2</v>
      </c>
      <c r="M69" s="47">
        <f>G69-F69-H69</f>
        <v>0</v>
      </c>
    </row>
    <row r="70" spans="1:13">
      <c r="A70" s="24" t="s">
        <v>117</v>
      </c>
      <c r="B70" s="3">
        <v>45051</v>
      </c>
      <c r="C70" s="2"/>
      <c r="D70" s="2"/>
      <c r="E70" s="2"/>
      <c r="F70" s="2">
        <v>0.41666666666666669</v>
      </c>
      <c r="G70" s="2">
        <v>0.70833333333333337</v>
      </c>
      <c r="H70" s="2"/>
      <c r="I70" s="1"/>
      <c r="J70" s="43">
        <f>IF(B70="","-",DATE(YEAR(B70),MONTH(B70),1))</f>
        <v>45047</v>
      </c>
      <c r="K70" s="47">
        <f>D70-C70-E70</f>
        <v>0</v>
      </c>
      <c r="L70" s="47">
        <f>MAX(0,D70-TIME(22,0,0))</f>
        <v>0</v>
      </c>
      <c r="M70" s="47">
        <f>G70-F70-H70</f>
        <v>0.29166666666666669</v>
      </c>
    </row>
    <row r="71" spans="1:13">
      <c r="A71" s="24" t="s">
        <v>117</v>
      </c>
      <c r="B71" s="3">
        <v>45082</v>
      </c>
      <c r="C71" s="2">
        <v>0.79166666666666663</v>
      </c>
      <c r="D71" s="2">
        <v>0.95833333333333337</v>
      </c>
      <c r="E71" s="2"/>
      <c r="F71" s="2"/>
      <c r="G71" s="2"/>
      <c r="H71" s="2"/>
      <c r="I71" s="1"/>
      <c r="J71" s="43">
        <f>IF(B71="","-",DATE(YEAR(B71),MONTH(B71),1))</f>
        <v>45078</v>
      </c>
      <c r="K71" s="47">
        <f>D71-C71-E71</f>
        <v>0.16666666666666674</v>
      </c>
      <c r="L71" s="47">
        <f>MAX(0,D71-TIME(22,0,0))</f>
        <v>4.1666666666666741E-2</v>
      </c>
      <c r="M71" s="47">
        <f>G71-F71-H71</f>
        <v>0</v>
      </c>
    </row>
    <row r="72" spans="1:13">
      <c r="A72" s="24" t="s">
        <v>117</v>
      </c>
      <c r="B72" s="3">
        <v>45107</v>
      </c>
      <c r="C72" s="2">
        <v>0.79166666666666663</v>
      </c>
      <c r="D72" s="2">
        <v>0.95833333333333337</v>
      </c>
      <c r="E72" s="2"/>
      <c r="F72" s="2"/>
      <c r="G72" s="2"/>
      <c r="H72" s="2"/>
      <c r="I72" s="1"/>
      <c r="J72" s="43">
        <f>IF(B72="","-",DATE(YEAR(B72),MONTH(B72),1))</f>
        <v>45078</v>
      </c>
      <c r="K72" s="47">
        <f>D72-C72-E72</f>
        <v>0.16666666666666674</v>
      </c>
      <c r="L72" s="47">
        <f>MAX(0,D72-TIME(22,0,0))</f>
        <v>4.1666666666666741E-2</v>
      </c>
      <c r="M72" s="47">
        <f>G72-F72-H72</f>
        <v>0</v>
      </c>
    </row>
    <row r="73" spans="1:13">
      <c r="A73" s="24" t="s">
        <v>118</v>
      </c>
      <c r="B73" s="3">
        <v>45074</v>
      </c>
      <c r="C73" s="2">
        <v>0.79166666666666663</v>
      </c>
      <c r="D73" s="2">
        <v>0.95833333333333337</v>
      </c>
      <c r="E73" s="2"/>
      <c r="F73" s="2"/>
      <c r="G73" s="2"/>
      <c r="H73" s="2"/>
      <c r="I73" s="1"/>
      <c r="J73" s="43">
        <f>IF(B73="","-",DATE(YEAR(B73),MONTH(B73),1))</f>
        <v>45047</v>
      </c>
      <c r="K73" s="47">
        <f>D73-C73-E73</f>
        <v>0.16666666666666674</v>
      </c>
      <c r="L73" s="47">
        <f>MAX(0,D73-TIME(22,0,0))</f>
        <v>4.1666666666666741E-2</v>
      </c>
      <c r="M73" s="47">
        <f>G73-F73-H73</f>
        <v>0</v>
      </c>
    </row>
    <row r="74" spans="1:13">
      <c r="A74" s="24" t="s">
        <v>119</v>
      </c>
      <c r="B74" s="3">
        <v>45025</v>
      </c>
      <c r="C74" s="2">
        <v>0.79166666666666663</v>
      </c>
      <c r="D74" s="2">
        <v>0.95833333333333337</v>
      </c>
      <c r="E74" s="2"/>
      <c r="F74" s="2">
        <v>0.41666666666666669</v>
      </c>
      <c r="G74" s="2">
        <v>0.70833333333333337</v>
      </c>
      <c r="H74" s="2"/>
      <c r="I74" s="1"/>
      <c r="J74" s="43">
        <f>IF(B74="","-",DATE(YEAR(B74),MONTH(B74),1))</f>
        <v>45017</v>
      </c>
      <c r="K74" s="47">
        <f>D74-C74-E74</f>
        <v>0.16666666666666674</v>
      </c>
      <c r="L74" s="47">
        <f>MAX(0,D74-TIME(22,0,0))</f>
        <v>4.1666666666666741E-2</v>
      </c>
      <c r="M74" s="47">
        <f>G74-F74-H74</f>
        <v>0.29166666666666669</v>
      </c>
    </row>
    <row r="75" spans="1:13">
      <c r="A75" s="24" t="s">
        <v>119</v>
      </c>
      <c r="B75" s="3">
        <v>45036</v>
      </c>
      <c r="C75" s="2">
        <v>0.79166666666666663</v>
      </c>
      <c r="D75" s="2">
        <v>0.95833333333333337</v>
      </c>
      <c r="E75" s="2"/>
      <c r="F75" s="2"/>
      <c r="G75" s="2"/>
      <c r="H75" s="2"/>
      <c r="I75" s="1"/>
      <c r="J75" s="43">
        <f>IF(B75="","-",DATE(YEAR(B75),MONTH(B75),1))</f>
        <v>45017</v>
      </c>
      <c r="K75" s="47">
        <f>D75-C75-E75</f>
        <v>0.16666666666666674</v>
      </c>
      <c r="L75" s="47">
        <f>MAX(0,D75-TIME(22,0,0))</f>
        <v>4.1666666666666741E-2</v>
      </c>
      <c r="M75" s="47">
        <f>G75-F75-H75</f>
        <v>0</v>
      </c>
    </row>
    <row r="76" spans="1:13">
      <c r="A76" s="24" t="s">
        <v>119</v>
      </c>
      <c r="B76" s="3">
        <v>45043</v>
      </c>
      <c r="C76" s="2">
        <v>0.79166666666666663</v>
      </c>
      <c r="D76" s="2">
        <v>0.95833333333333337</v>
      </c>
      <c r="E76" s="2"/>
      <c r="F76" s="2"/>
      <c r="G76" s="2"/>
      <c r="H76" s="2"/>
      <c r="I76" s="1"/>
      <c r="J76" s="43">
        <f>IF(B76="","-",DATE(YEAR(B76),MONTH(B76),1))</f>
        <v>45017</v>
      </c>
      <c r="K76" s="47">
        <f>D76-C76-E76</f>
        <v>0.16666666666666674</v>
      </c>
      <c r="L76" s="47">
        <f>MAX(0,D76-TIME(22,0,0))</f>
        <v>4.1666666666666741E-2</v>
      </c>
      <c r="M76" s="47">
        <f>G76-F76-H76</f>
        <v>0</v>
      </c>
    </row>
    <row r="77" spans="1:13">
      <c r="A77" s="24" t="s">
        <v>119</v>
      </c>
      <c r="B77" s="3">
        <v>45051</v>
      </c>
      <c r="C77" s="2">
        <v>0.79166666666666663</v>
      </c>
      <c r="D77" s="2">
        <v>0.95833333333333337</v>
      </c>
      <c r="E77" s="2"/>
      <c r="F77" s="2">
        <v>0.41666666666666669</v>
      </c>
      <c r="G77" s="2">
        <v>0.70833333333333337</v>
      </c>
      <c r="H77" s="2"/>
      <c r="I77" s="1"/>
      <c r="J77" s="43">
        <f>IF(B77="","-",DATE(YEAR(B77),MONTH(B77),1))</f>
        <v>45047</v>
      </c>
      <c r="K77" s="47">
        <f>D77-C77-E77</f>
        <v>0.16666666666666674</v>
      </c>
      <c r="L77" s="47">
        <f>MAX(0,D77-TIME(22,0,0))</f>
        <v>4.1666666666666741E-2</v>
      </c>
      <c r="M77" s="47">
        <f>G77-F77-H77</f>
        <v>0.29166666666666669</v>
      </c>
    </row>
    <row r="78" spans="1:13">
      <c r="A78" s="24" t="s">
        <v>119</v>
      </c>
      <c r="B78" s="3">
        <v>45060</v>
      </c>
      <c r="C78" s="2">
        <v>0.79166666666666663</v>
      </c>
      <c r="D78" s="2">
        <v>0.95833333333333337</v>
      </c>
      <c r="E78" s="2"/>
      <c r="F78" s="2">
        <v>0.41666666666666669</v>
      </c>
      <c r="G78" s="2">
        <v>0.70833333333333337</v>
      </c>
      <c r="H78" s="2"/>
      <c r="I78" s="1"/>
      <c r="J78" s="43">
        <f>IF(B78="","-",DATE(YEAR(B78),MONTH(B78),1))</f>
        <v>45047</v>
      </c>
      <c r="K78" s="47">
        <f>D78-C78-E78</f>
        <v>0.16666666666666674</v>
      </c>
      <c r="L78" s="47">
        <f>MAX(0,D78-TIME(22,0,0))</f>
        <v>4.1666666666666741E-2</v>
      </c>
      <c r="M78" s="47">
        <f>G78-F78-H78</f>
        <v>0.29166666666666669</v>
      </c>
    </row>
    <row r="79" spans="1:13">
      <c r="A79" s="24" t="s">
        <v>119</v>
      </c>
      <c r="B79" s="3">
        <v>45071</v>
      </c>
      <c r="C79" s="2">
        <v>0.79166666666666663</v>
      </c>
      <c r="D79" s="2">
        <v>0.95833333333333337</v>
      </c>
      <c r="E79" s="2"/>
      <c r="F79" s="2"/>
      <c r="G79" s="2"/>
      <c r="H79" s="2"/>
      <c r="I79" s="1"/>
      <c r="J79" s="43">
        <f>IF(B79="","-",DATE(YEAR(B79),MONTH(B79),1))</f>
        <v>45047</v>
      </c>
      <c r="K79" s="47">
        <f>D79-C79-E79</f>
        <v>0.16666666666666674</v>
      </c>
      <c r="L79" s="47">
        <f>MAX(0,D79-TIME(22,0,0))</f>
        <v>4.1666666666666741E-2</v>
      </c>
      <c r="M79" s="47">
        <f>G79-F79-H79</f>
        <v>0</v>
      </c>
    </row>
    <row r="80" spans="1:13">
      <c r="A80" s="24" t="s">
        <v>119</v>
      </c>
      <c r="B80" s="3">
        <v>45077</v>
      </c>
      <c r="C80" s="2">
        <v>0.79166666666666663</v>
      </c>
      <c r="D80" s="2">
        <v>0.95833333333333337</v>
      </c>
      <c r="E80" s="2"/>
      <c r="F80" s="2"/>
      <c r="G80" s="2"/>
      <c r="H80" s="2"/>
      <c r="I80" s="1"/>
      <c r="J80" s="43">
        <f>IF(B80="","-",DATE(YEAR(B80),MONTH(B80),1))</f>
        <v>45047</v>
      </c>
      <c r="K80" s="47">
        <f>D80-C80-E80</f>
        <v>0.16666666666666674</v>
      </c>
      <c r="L80" s="47">
        <f>MAX(0,D80-TIME(22,0,0))</f>
        <v>4.1666666666666741E-2</v>
      </c>
      <c r="M80" s="47">
        <f>G80-F80-H80</f>
        <v>0</v>
      </c>
    </row>
    <row r="81" spans="1:13">
      <c r="A81" s="24" t="s">
        <v>119</v>
      </c>
      <c r="B81" s="3">
        <v>45084</v>
      </c>
      <c r="C81" s="2">
        <v>0.79166666666666663</v>
      </c>
      <c r="D81" s="2">
        <v>0.95833333333333337</v>
      </c>
      <c r="E81" s="2"/>
      <c r="F81" s="2"/>
      <c r="G81" s="2"/>
      <c r="H81" s="2"/>
      <c r="I81" s="1"/>
      <c r="J81" s="43">
        <f>IF(B81="","-",DATE(YEAR(B81),MONTH(B81),1))</f>
        <v>45078</v>
      </c>
      <c r="K81" s="47">
        <f>D81-C81-E81</f>
        <v>0.16666666666666674</v>
      </c>
      <c r="L81" s="47">
        <f>MAX(0,D81-TIME(22,0,0))</f>
        <v>4.1666666666666741E-2</v>
      </c>
      <c r="M81" s="47">
        <f>G81-F81-H81</f>
        <v>0</v>
      </c>
    </row>
    <row r="82" spans="1:13">
      <c r="A82" s="24" t="s">
        <v>119</v>
      </c>
      <c r="B82" s="3">
        <v>45088</v>
      </c>
      <c r="C82" s="2">
        <v>0.79166666666666663</v>
      </c>
      <c r="D82" s="2">
        <v>0.95833333333333337</v>
      </c>
      <c r="E82" s="2"/>
      <c r="F82" s="2">
        <v>0.41666666666666669</v>
      </c>
      <c r="G82" s="2">
        <v>0.70833333333333337</v>
      </c>
      <c r="H82" s="2"/>
      <c r="I82" s="1"/>
      <c r="J82" s="43">
        <f>IF(B82="","-",DATE(YEAR(B82),MONTH(B82),1))</f>
        <v>45078</v>
      </c>
      <c r="K82" s="47">
        <f>D82-C82-E82</f>
        <v>0.16666666666666674</v>
      </c>
      <c r="L82" s="47">
        <f>MAX(0,D82-TIME(22,0,0))</f>
        <v>4.1666666666666741E-2</v>
      </c>
      <c r="M82" s="47">
        <f>G82-F82-H82</f>
        <v>0.29166666666666669</v>
      </c>
    </row>
    <row r="83" spans="1:13">
      <c r="A83" s="24" t="s">
        <v>119</v>
      </c>
      <c r="B83" s="3">
        <v>45091</v>
      </c>
      <c r="C83" s="2">
        <v>0.79166666666666663</v>
      </c>
      <c r="D83" s="2">
        <v>0.95833333333333337</v>
      </c>
      <c r="E83" s="2"/>
      <c r="F83" s="2"/>
      <c r="G83" s="2"/>
      <c r="H83" s="2"/>
      <c r="I83" s="1"/>
      <c r="J83" s="43">
        <f>IF(B83="","-",DATE(YEAR(B83),MONTH(B83),1))</f>
        <v>45078</v>
      </c>
      <c r="K83" s="47">
        <f>D83-C83-E83</f>
        <v>0.16666666666666674</v>
      </c>
      <c r="L83" s="47">
        <f>MAX(0,D83-TIME(22,0,0))</f>
        <v>4.1666666666666741E-2</v>
      </c>
      <c r="M83" s="47">
        <f>G83-F83-H83</f>
        <v>0</v>
      </c>
    </row>
    <row r="84" spans="1:13">
      <c r="A84" s="24" t="s">
        <v>119</v>
      </c>
      <c r="B84" s="3">
        <v>45106</v>
      </c>
      <c r="C84" s="2">
        <v>0.79166666666666663</v>
      </c>
      <c r="D84" s="2">
        <v>0.95833333333333337</v>
      </c>
      <c r="E84" s="2"/>
      <c r="F84" s="2"/>
      <c r="G84" s="2"/>
      <c r="H84" s="2"/>
      <c r="I84" s="1"/>
      <c r="J84" s="43">
        <f>IF(B84="","-",DATE(YEAR(B84),MONTH(B84),1))</f>
        <v>45078</v>
      </c>
      <c r="K84" s="47">
        <f>D84-C84-E84</f>
        <v>0.16666666666666674</v>
      </c>
      <c r="L84" s="47">
        <f>MAX(0,D84-TIME(22,0,0))</f>
        <v>4.1666666666666741E-2</v>
      </c>
      <c r="M84" s="47">
        <f>G84-F84-H84</f>
        <v>0</v>
      </c>
    </row>
    <row r="85" spans="1:13">
      <c r="A85" s="24" t="s">
        <v>93</v>
      </c>
      <c r="B85" s="3">
        <v>45053</v>
      </c>
      <c r="C85" s="2"/>
      <c r="D85" s="2"/>
      <c r="E85" s="2"/>
      <c r="F85" s="2">
        <v>0.41666666666666669</v>
      </c>
      <c r="G85" s="2">
        <v>0.70833333333333337</v>
      </c>
      <c r="H85" s="2"/>
      <c r="I85" s="1"/>
      <c r="J85" s="43">
        <f>IF(B85="","-",DATE(YEAR(B85),MONTH(B85),1))</f>
        <v>45047</v>
      </c>
      <c r="K85" s="47">
        <f>D85-C85-E85</f>
        <v>0</v>
      </c>
      <c r="L85" s="47">
        <f>MAX(0,D85-TIME(22,0,0))</f>
        <v>0</v>
      </c>
      <c r="M85" s="47">
        <f>G85-F85-H85</f>
        <v>0.29166666666666669</v>
      </c>
    </row>
    <row r="86" spans="1:13">
      <c r="A86" s="24" t="s">
        <v>120</v>
      </c>
      <c r="B86" s="3">
        <v>45024</v>
      </c>
      <c r="C86" s="2">
        <v>0.79166666666666663</v>
      </c>
      <c r="D86" s="2">
        <v>0.95833333333333337</v>
      </c>
      <c r="E86" s="2"/>
      <c r="F86" s="2"/>
      <c r="G86" s="2"/>
      <c r="H86" s="2"/>
      <c r="I86" s="1"/>
      <c r="J86" s="43">
        <f>IF(B86="","-",DATE(YEAR(B86),MONTH(B86),1))</f>
        <v>45017</v>
      </c>
      <c r="K86" s="47">
        <f>D86-C86-E86</f>
        <v>0.16666666666666674</v>
      </c>
      <c r="L86" s="47">
        <f>MAX(0,D86-TIME(22,0,0))</f>
        <v>4.1666666666666741E-2</v>
      </c>
      <c r="M86" s="47">
        <f>G86-F86-H86</f>
        <v>0</v>
      </c>
    </row>
    <row r="87" spans="1:13">
      <c r="A87" s="24" t="s">
        <v>120</v>
      </c>
      <c r="B87" s="3">
        <v>45067</v>
      </c>
      <c r="C87" s="2">
        <v>0.79166666666666663</v>
      </c>
      <c r="D87" s="2">
        <v>0.95833333333333337</v>
      </c>
      <c r="E87" s="2"/>
      <c r="F87" s="2"/>
      <c r="G87" s="2"/>
      <c r="H87" s="2"/>
      <c r="I87" s="1"/>
      <c r="J87" s="43">
        <f>IF(B87="","-",DATE(YEAR(B87),MONTH(B87),1))</f>
        <v>45047</v>
      </c>
      <c r="K87" s="47">
        <f>D87-C87-E87</f>
        <v>0.16666666666666674</v>
      </c>
      <c r="L87" s="47">
        <f>MAX(0,D87-TIME(22,0,0))</f>
        <v>4.1666666666666741E-2</v>
      </c>
      <c r="M87" s="47">
        <f>G87-F87-H87</f>
        <v>0</v>
      </c>
    </row>
    <row r="88" spans="1:13">
      <c r="A88" s="24" t="s">
        <v>120</v>
      </c>
      <c r="B88" s="3">
        <v>45087</v>
      </c>
      <c r="C88" s="2">
        <v>0.79166666666666663</v>
      </c>
      <c r="D88" s="2">
        <v>0.95833333333333337</v>
      </c>
      <c r="E88" s="2"/>
      <c r="F88" s="2"/>
      <c r="G88" s="2"/>
      <c r="H88" s="2"/>
      <c r="I88" s="1"/>
      <c r="J88" s="43">
        <f>IF(B88="","-",DATE(YEAR(B88),MONTH(B88),1))</f>
        <v>45078</v>
      </c>
      <c r="K88" s="47">
        <f>D88-C88-E88</f>
        <v>0.16666666666666674</v>
      </c>
      <c r="L88" s="47">
        <f>MAX(0,D88-TIME(22,0,0))</f>
        <v>4.1666666666666741E-2</v>
      </c>
      <c r="M88" s="47">
        <f>G88-F88-H88</f>
        <v>0</v>
      </c>
    </row>
    <row r="89" spans="1:13">
      <c r="A89" s="24" t="s">
        <v>121</v>
      </c>
      <c r="B89" s="3">
        <v>45025</v>
      </c>
      <c r="C89" s="2"/>
      <c r="D89" s="2"/>
      <c r="E89" s="2"/>
      <c r="F89" s="2">
        <v>0.41666666666666669</v>
      </c>
      <c r="G89" s="2">
        <v>0.70833333333333337</v>
      </c>
      <c r="H89" s="2"/>
      <c r="I89" s="1"/>
      <c r="J89" s="43">
        <f>IF(B89="","-",DATE(YEAR(B89),MONTH(B89),1))</f>
        <v>45017</v>
      </c>
      <c r="K89" s="47">
        <f>D89-C89-E89</f>
        <v>0</v>
      </c>
      <c r="L89" s="47">
        <f>MAX(0,D89-TIME(22,0,0))</f>
        <v>0</v>
      </c>
      <c r="M89" s="47">
        <f>G89-F89-H89</f>
        <v>0.29166666666666669</v>
      </c>
    </row>
    <row r="90" spans="1:13">
      <c r="A90" s="24" t="s">
        <v>121</v>
      </c>
      <c r="B90" s="3">
        <v>45081</v>
      </c>
      <c r="C90" s="2"/>
      <c r="D90" s="2"/>
      <c r="E90" s="2"/>
      <c r="F90" s="2">
        <v>0.41666666666666669</v>
      </c>
      <c r="G90" s="2">
        <v>0.70833333333333337</v>
      </c>
      <c r="H90" s="2"/>
      <c r="I90" s="1"/>
      <c r="J90" s="43">
        <f>IF(B90="","-",DATE(YEAR(B90),MONTH(B90),1))</f>
        <v>45078</v>
      </c>
      <c r="K90" s="47">
        <f>D90-C90-E90</f>
        <v>0</v>
      </c>
      <c r="L90" s="47">
        <f>MAX(0,D90-TIME(22,0,0))</f>
        <v>0</v>
      </c>
      <c r="M90" s="47">
        <f>G90-F90-H90</f>
        <v>0.29166666666666669</v>
      </c>
    </row>
    <row r="91" spans="1:13">
      <c r="A91" s="24" t="s">
        <v>94</v>
      </c>
      <c r="B91" s="3">
        <v>45042</v>
      </c>
      <c r="C91" s="2">
        <v>0.79166666666666663</v>
      </c>
      <c r="D91" s="2">
        <v>0.95833333333333337</v>
      </c>
      <c r="E91" s="2"/>
      <c r="F91" s="2"/>
      <c r="G91" s="2"/>
      <c r="H91" s="2"/>
      <c r="I91" s="1"/>
      <c r="J91" s="43">
        <f>IF(B91="","-",DATE(YEAR(B91),MONTH(B91),1))</f>
        <v>45017</v>
      </c>
      <c r="K91" s="47">
        <f>D91-C91-E91</f>
        <v>0.16666666666666674</v>
      </c>
      <c r="L91" s="47">
        <f>MAX(0,D91-TIME(22,0,0))</f>
        <v>4.1666666666666741E-2</v>
      </c>
      <c r="M91" s="47">
        <f>G91-F91-H91</f>
        <v>0</v>
      </c>
    </row>
    <row r="92" spans="1:13">
      <c r="A92" s="24" t="s">
        <v>94</v>
      </c>
      <c r="B92" s="3">
        <v>45070</v>
      </c>
      <c r="C92" s="2">
        <v>0.79166666666666663</v>
      </c>
      <c r="D92" s="2">
        <v>0.95833333333333337</v>
      </c>
      <c r="E92" s="2"/>
      <c r="F92" s="2"/>
      <c r="G92" s="2"/>
      <c r="H92" s="2"/>
      <c r="I92" s="1"/>
      <c r="J92" s="43">
        <f>IF(B92="","-",DATE(YEAR(B92),MONTH(B92),1))</f>
        <v>45047</v>
      </c>
      <c r="K92" s="47">
        <f>D92-C92-E92</f>
        <v>0.16666666666666674</v>
      </c>
      <c r="L92" s="47">
        <f>MAX(0,D92-TIME(22,0,0))</f>
        <v>4.1666666666666741E-2</v>
      </c>
      <c r="M92" s="47">
        <f>G92-F92-H92</f>
        <v>0</v>
      </c>
    </row>
    <row r="93" spans="1:13">
      <c r="A93" s="24" t="s">
        <v>94</v>
      </c>
      <c r="B93" s="3">
        <v>45098</v>
      </c>
      <c r="C93" s="2">
        <v>0.79166666666666663</v>
      </c>
      <c r="D93" s="2">
        <v>0.95833333333333337</v>
      </c>
      <c r="E93" s="2"/>
      <c r="F93" s="2"/>
      <c r="G93" s="2"/>
      <c r="H93" s="2"/>
      <c r="I93" s="1"/>
      <c r="J93" s="43">
        <f>IF(B93="","-",DATE(YEAR(B93),MONTH(B93),1))</f>
        <v>45078</v>
      </c>
      <c r="K93" s="47">
        <f>D93-C93-E93</f>
        <v>0.16666666666666674</v>
      </c>
      <c r="L93" s="47">
        <f>MAX(0,D93-TIME(22,0,0))</f>
        <v>4.1666666666666741E-2</v>
      </c>
      <c r="M93" s="47">
        <f>G93-F93-H93</f>
        <v>0</v>
      </c>
    </row>
    <row r="94" spans="1:13">
      <c r="A94" s="24" t="s">
        <v>95</v>
      </c>
      <c r="B94" s="3">
        <v>45026</v>
      </c>
      <c r="C94" s="2">
        <v>0.79166666666666663</v>
      </c>
      <c r="D94" s="2">
        <v>0.95833333333333337</v>
      </c>
      <c r="E94" s="2"/>
      <c r="F94" s="2"/>
      <c r="G94" s="2"/>
      <c r="H94" s="2"/>
      <c r="I94" s="1"/>
      <c r="J94" s="43">
        <f>IF(B94="","-",DATE(YEAR(B94),MONTH(B94),1))</f>
        <v>45017</v>
      </c>
      <c r="K94" s="47">
        <f>D94-C94-E94</f>
        <v>0.16666666666666674</v>
      </c>
      <c r="L94" s="47">
        <f>MAX(0,D94-TIME(22,0,0))</f>
        <v>4.1666666666666741E-2</v>
      </c>
      <c r="M94" s="47">
        <f>G94-F94-H94</f>
        <v>0</v>
      </c>
    </row>
    <row r="95" spans="1:13">
      <c r="A95" s="24" t="s">
        <v>95</v>
      </c>
      <c r="B95" s="3">
        <v>45033</v>
      </c>
      <c r="C95" s="2">
        <v>0.79166666666666663</v>
      </c>
      <c r="D95" s="2">
        <v>0.95833333333333337</v>
      </c>
      <c r="E95" s="2"/>
      <c r="F95" s="2"/>
      <c r="G95" s="2"/>
      <c r="H95" s="2"/>
      <c r="I95" s="1"/>
      <c r="J95" s="43">
        <f>IF(B95="","-",DATE(YEAR(B95),MONTH(B95),1))</f>
        <v>45017</v>
      </c>
      <c r="K95" s="47">
        <f>D95-C95-E95</f>
        <v>0.16666666666666674</v>
      </c>
      <c r="L95" s="47">
        <f>MAX(0,D95-TIME(22,0,0))</f>
        <v>4.1666666666666741E-2</v>
      </c>
      <c r="M95" s="47">
        <f>G95-F95-H95</f>
        <v>0</v>
      </c>
    </row>
    <row r="96" spans="1:13">
      <c r="A96" s="24" t="s">
        <v>95</v>
      </c>
      <c r="B96" s="3">
        <v>45040</v>
      </c>
      <c r="C96" s="2">
        <v>0.79166666666666663</v>
      </c>
      <c r="D96" s="2">
        <v>0.95833333333333337</v>
      </c>
      <c r="E96" s="2"/>
      <c r="F96" s="2"/>
      <c r="G96" s="2"/>
      <c r="H96" s="2"/>
      <c r="I96" s="1"/>
      <c r="J96" s="43">
        <f>IF(B96="","-",DATE(YEAR(B96),MONTH(B96),1))</f>
        <v>45017</v>
      </c>
      <c r="K96" s="47">
        <f>D96-C96-E96</f>
        <v>0.16666666666666674</v>
      </c>
      <c r="L96" s="47">
        <f>MAX(0,D96-TIME(22,0,0))</f>
        <v>4.1666666666666741E-2</v>
      </c>
      <c r="M96" s="47">
        <f>G96-F96-H96</f>
        <v>0</v>
      </c>
    </row>
    <row r="97" spans="1:13">
      <c r="A97" s="24" t="s">
        <v>95</v>
      </c>
      <c r="B97" s="3">
        <v>45046</v>
      </c>
      <c r="C97" s="2"/>
      <c r="D97" s="2"/>
      <c r="E97" s="2"/>
      <c r="F97" s="2">
        <v>0.41666666666666669</v>
      </c>
      <c r="G97" s="2">
        <v>0.70833333333333337</v>
      </c>
      <c r="H97" s="2"/>
      <c r="I97" s="1"/>
      <c r="J97" s="43">
        <f>IF(B97="","-",DATE(YEAR(B97),MONTH(B97),1))</f>
        <v>45017</v>
      </c>
      <c r="K97" s="47">
        <f>D97-C97-E97</f>
        <v>0</v>
      </c>
      <c r="L97" s="47">
        <f>MAX(0,D97-TIME(22,0,0))</f>
        <v>0</v>
      </c>
      <c r="M97" s="47">
        <f>G97-F97-H97</f>
        <v>0.29166666666666669</v>
      </c>
    </row>
    <row r="98" spans="1:13">
      <c r="A98" s="24" t="s">
        <v>95</v>
      </c>
      <c r="B98" s="3">
        <v>45050</v>
      </c>
      <c r="C98" s="2"/>
      <c r="D98" s="2"/>
      <c r="E98" s="2"/>
      <c r="F98" s="2">
        <v>0.41666666666666669</v>
      </c>
      <c r="G98" s="2">
        <v>0.70833333333333337</v>
      </c>
      <c r="H98" s="2"/>
      <c r="I98" s="1"/>
      <c r="J98" s="43">
        <f>IF(B98="","-",DATE(YEAR(B98),MONTH(B98),1))</f>
        <v>45047</v>
      </c>
      <c r="K98" s="47">
        <f>D98-C98-E98</f>
        <v>0</v>
      </c>
      <c r="L98" s="47">
        <f>MAX(0,D98-TIME(22,0,0))</f>
        <v>0</v>
      </c>
      <c r="M98" s="47">
        <f>G98-F98-H98</f>
        <v>0.29166666666666669</v>
      </c>
    </row>
    <row r="99" spans="1:13">
      <c r="A99" s="24" t="s">
        <v>95</v>
      </c>
      <c r="B99" s="3">
        <v>45054</v>
      </c>
      <c r="C99" s="2">
        <v>0.79166666666666663</v>
      </c>
      <c r="D99" s="2">
        <v>0.95833333333333337</v>
      </c>
      <c r="E99" s="2"/>
      <c r="F99" s="2"/>
      <c r="G99" s="2"/>
      <c r="H99" s="2"/>
      <c r="I99" s="1"/>
      <c r="J99" s="43">
        <f>IF(B99="","-",DATE(YEAR(B99),MONTH(B99),1))</f>
        <v>45047</v>
      </c>
      <c r="K99" s="47">
        <f>D99-C99-E99</f>
        <v>0.16666666666666674</v>
      </c>
      <c r="L99" s="47">
        <f>MAX(0,D99-TIME(22,0,0))</f>
        <v>4.1666666666666741E-2</v>
      </c>
      <c r="M99" s="47">
        <f>G99-F99-H99</f>
        <v>0</v>
      </c>
    </row>
    <row r="100" spans="1:13">
      <c r="A100" s="24" t="s">
        <v>95</v>
      </c>
      <c r="B100" s="3">
        <v>45061</v>
      </c>
      <c r="C100" s="2">
        <v>0.79166666666666663</v>
      </c>
      <c r="D100" s="2">
        <v>0.95833333333333337</v>
      </c>
      <c r="E100" s="2"/>
      <c r="F100" s="2"/>
      <c r="G100" s="2"/>
      <c r="H100" s="2"/>
      <c r="I100" s="1"/>
      <c r="J100" s="43">
        <f>IF(B100="","-",DATE(YEAR(B100),MONTH(B100),1))</f>
        <v>45047</v>
      </c>
      <c r="K100" s="47">
        <f>D100-C100-E100</f>
        <v>0.16666666666666674</v>
      </c>
      <c r="L100" s="47">
        <f>MAX(0,D100-TIME(22,0,0))</f>
        <v>4.1666666666666741E-2</v>
      </c>
      <c r="M100" s="47">
        <f>G100-F100-H100</f>
        <v>0</v>
      </c>
    </row>
    <row r="101" spans="1:13">
      <c r="A101" s="24" t="s">
        <v>95</v>
      </c>
      <c r="B101" s="3">
        <v>45075</v>
      </c>
      <c r="C101" s="2">
        <v>0.79166666666666663</v>
      </c>
      <c r="D101" s="2">
        <v>0.95833333333333337</v>
      </c>
      <c r="E101" s="2"/>
      <c r="F101" s="2"/>
      <c r="G101" s="2"/>
      <c r="H101" s="2"/>
      <c r="I101" s="1"/>
      <c r="J101" s="43">
        <f>IF(B101="","-",DATE(YEAR(B101),MONTH(B101),1))</f>
        <v>45047</v>
      </c>
      <c r="K101" s="47">
        <f>D101-C101-E101</f>
        <v>0.16666666666666674</v>
      </c>
      <c r="L101" s="47">
        <f>MAX(0,D101-TIME(22,0,0))</f>
        <v>4.1666666666666741E-2</v>
      </c>
      <c r="M101" s="47">
        <f>G101-F101-H101</f>
        <v>0</v>
      </c>
    </row>
    <row r="102" spans="1:13">
      <c r="A102" s="24" t="s">
        <v>95</v>
      </c>
      <c r="B102" s="3">
        <v>45089</v>
      </c>
      <c r="C102" s="2">
        <v>0.79166666666666663</v>
      </c>
      <c r="D102" s="2">
        <v>0.95833333333333337</v>
      </c>
      <c r="E102" s="2"/>
      <c r="F102" s="2"/>
      <c r="G102" s="2"/>
      <c r="H102" s="2"/>
      <c r="I102" s="1"/>
      <c r="J102" s="43">
        <f>IF(B102="","-",DATE(YEAR(B102),MONTH(B102),1))</f>
        <v>45078</v>
      </c>
      <c r="K102" s="47">
        <f>D102-C102-E102</f>
        <v>0.16666666666666674</v>
      </c>
      <c r="L102" s="47">
        <f>MAX(0,D102-TIME(22,0,0))</f>
        <v>4.1666666666666741E-2</v>
      </c>
      <c r="M102" s="47">
        <f>G102-F102-H102</f>
        <v>0</v>
      </c>
    </row>
    <row r="103" spans="1:13">
      <c r="A103" s="24" t="s">
        <v>95</v>
      </c>
      <c r="B103" s="3">
        <v>45103</v>
      </c>
      <c r="C103" s="2">
        <v>0.79166666666666663</v>
      </c>
      <c r="D103" s="2">
        <v>0.95833333333333337</v>
      </c>
      <c r="E103" s="2"/>
      <c r="F103" s="2"/>
      <c r="G103" s="2"/>
      <c r="H103" s="2"/>
      <c r="I103" s="1"/>
      <c r="J103" s="43">
        <f>IF(B103="","-",DATE(YEAR(B103),MONTH(B103),1))</f>
        <v>45078</v>
      </c>
      <c r="K103" s="47">
        <f>D103-C103-E103</f>
        <v>0.16666666666666674</v>
      </c>
      <c r="L103" s="47">
        <f>MAX(0,D103-TIME(22,0,0))</f>
        <v>4.1666666666666741E-2</v>
      </c>
      <c r="M103" s="47">
        <f>G103-F103-H103</f>
        <v>0</v>
      </c>
    </row>
    <row r="104" spans="1:13">
      <c r="A104" s="24" t="s">
        <v>96</v>
      </c>
      <c r="B104" s="3">
        <v>45018</v>
      </c>
      <c r="C104" s="2"/>
      <c r="D104" s="2"/>
      <c r="E104" s="2"/>
      <c r="F104" s="2">
        <v>0.41666666666666669</v>
      </c>
      <c r="G104" s="2">
        <v>0.70833333333333337</v>
      </c>
      <c r="H104" s="2"/>
      <c r="I104" s="1"/>
      <c r="J104" s="43">
        <f>IF(B104="","-",DATE(YEAR(B104),MONTH(B104),1))</f>
        <v>45017</v>
      </c>
      <c r="K104" s="47">
        <f>D104-C104-E104</f>
        <v>0</v>
      </c>
      <c r="L104" s="47">
        <f>MAX(0,D104-TIME(22,0,0))</f>
        <v>0</v>
      </c>
      <c r="M104" s="47">
        <f>G104-F104-H104</f>
        <v>0.29166666666666669</v>
      </c>
    </row>
    <row r="105" spans="1:13">
      <c r="A105" s="24" t="s">
        <v>96</v>
      </c>
      <c r="B105" s="3">
        <v>45046</v>
      </c>
      <c r="C105" s="2"/>
      <c r="D105" s="2"/>
      <c r="E105" s="2"/>
      <c r="F105" s="2">
        <v>0.41666666666666669</v>
      </c>
      <c r="G105" s="2">
        <v>0.70833333333333337</v>
      </c>
      <c r="H105" s="2"/>
      <c r="I105" s="1"/>
      <c r="J105" s="43">
        <f>IF(B105="","-",DATE(YEAR(B105),MONTH(B105),1))</f>
        <v>45017</v>
      </c>
      <c r="K105" s="47">
        <f>D105-C105-E105</f>
        <v>0</v>
      </c>
      <c r="L105" s="47">
        <f>MAX(0,D105-TIME(22,0,0))</f>
        <v>0</v>
      </c>
      <c r="M105" s="47">
        <f>G105-F105-H105</f>
        <v>0.29166666666666669</v>
      </c>
    </row>
    <row r="106" spans="1:13">
      <c r="A106" s="24" t="s">
        <v>97</v>
      </c>
      <c r="B106" s="3">
        <v>45029</v>
      </c>
      <c r="C106" s="2">
        <v>0.79166666666666663</v>
      </c>
      <c r="D106" s="2">
        <v>0.95833333333333337</v>
      </c>
      <c r="E106" s="2"/>
      <c r="F106" s="2"/>
      <c r="G106" s="2"/>
      <c r="H106" s="2"/>
      <c r="I106" s="1"/>
      <c r="J106" s="43">
        <f>IF(B106="","-",DATE(YEAR(B106),MONTH(B106),1))</f>
        <v>45017</v>
      </c>
      <c r="K106" s="47">
        <f>D106-C106-E106</f>
        <v>0.16666666666666674</v>
      </c>
      <c r="L106" s="47">
        <f>MAX(0,D106-TIME(22,0,0))</f>
        <v>4.1666666666666741E-2</v>
      </c>
      <c r="M106" s="47">
        <f>G106-F106-H106</f>
        <v>0</v>
      </c>
    </row>
    <row r="107" spans="1:13">
      <c r="A107" s="24" t="s">
        <v>97</v>
      </c>
      <c r="B107" s="3">
        <v>45030</v>
      </c>
      <c r="C107" s="2">
        <v>0.79166666666666663</v>
      </c>
      <c r="D107" s="2">
        <v>0.95833333333333337</v>
      </c>
      <c r="E107" s="2"/>
      <c r="F107" s="2"/>
      <c r="G107" s="2"/>
      <c r="H107" s="2"/>
      <c r="I107" s="1"/>
      <c r="J107" s="43">
        <f>IF(B107="","-",DATE(YEAR(B107),MONTH(B107),1))</f>
        <v>45017</v>
      </c>
      <c r="K107" s="47">
        <f>D107-C107-E107</f>
        <v>0.16666666666666674</v>
      </c>
      <c r="L107" s="47">
        <f>MAX(0,D107-TIME(22,0,0))</f>
        <v>4.1666666666666741E-2</v>
      </c>
      <c r="M107" s="47">
        <f>G107-F107-H107</f>
        <v>0</v>
      </c>
    </row>
    <row r="108" spans="1:13">
      <c r="A108" s="24" t="s">
        <v>97</v>
      </c>
      <c r="B108" s="3">
        <v>45044</v>
      </c>
      <c r="C108" s="2">
        <v>0.79166666666666663</v>
      </c>
      <c r="D108" s="2">
        <v>0.95833333333333337</v>
      </c>
      <c r="E108" s="2"/>
      <c r="F108" s="2"/>
      <c r="G108" s="2"/>
      <c r="H108" s="2"/>
      <c r="I108" s="1"/>
      <c r="J108" s="43">
        <f>IF(B108="","-",DATE(YEAR(B108),MONTH(B108),1))</f>
        <v>45017</v>
      </c>
      <c r="K108" s="47">
        <f>D108-C108-E108</f>
        <v>0.16666666666666674</v>
      </c>
      <c r="L108" s="47">
        <f>MAX(0,D108-TIME(22,0,0))</f>
        <v>4.1666666666666741E-2</v>
      </c>
      <c r="M108" s="47">
        <f>G108-F108-H108</f>
        <v>0</v>
      </c>
    </row>
    <row r="109" spans="1:13">
      <c r="A109" s="24" t="s">
        <v>97</v>
      </c>
      <c r="B109" s="3">
        <v>45049</v>
      </c>
      <c r="C109" s="2"/>
      <c r="D109" s="2"/>
      <c r="E109" s="2"/>
      <c r="F109" s="2">
        <v>0.41666666666666669</v>
      </c>
      <c r="G109" s="2">
        <v>0.70833333333333337</v>
      </c>
      <c r="H109" s="2"/>
      <c r="I109" s="1"/>
      <c r="J109" s="43">
        <f>IF(B109="","-",DATE(YEAR(B109),MONTH(B109),1))</f>
        <v>45047</v>
      </c>
      <c r="K109" s="47">
        <f>D109-C109-E109</f>
        <v>0</v>
      </c>
      <c r="L109" s="47">
        <f>MAX(0,D109-TIME(22,0,0))</f>
        <v>0</v>
      </c>
      <c r="M109" s="47">
        <f>G109-F109-H109</f>
        <v>0.29166666666666669</v>
      </c>
    </row>
    <row r="110" spans="1:13">
      <c r="A110" s="24" t="s">
        <v>97</v>
      </c>
      <c r="B110" s="3">
        <v>45058</v>
      </c>
      <c r="C110" s="2">
        <v>0.79166666666666663</v>
      </c>
      <c r="D110" s="2">
        <v>0.95833333333333337</v>
      </c>
      <c r="E110" s="2"/>
      <c r="F110" s="2"/>
      <c r="G110" s="2"/>
      <c r="H110" s="2"/>
      <c r="I110" s="1"/>
      <c r="J110" s="43">
        <f>IF(B110="","-",DATE(YEAR(B110),MONTH(B110),1))</f>
        <v>45047</v>
      </c>
      <c r="K110" s="47">
        <f>D110-C110-E110</f>
        <v>0.16666666666666674</v>
      </c>
      <c r="L110" s="47">
        <f>MAX(0,D110-TIME(22,0,0))</f>
        <v>4.1666666666666741E-2</v>
      </c>
      <c r="M110" s="47">
        <f>G110-F110-H110</f>
        <v>0</v>
      </c>
    </row>
    <row r="111" spans="1:13">
      <c r="A111" s="24" t="s">
        <v>97</v>
      </c>
      <c r="B111" s="3">
        <v>45064</v>
      </c>
      <c r="C111" s="2">
        <v>0.79166666666666663</v>
      </c>
      <c r="D111" s="2">
        <v>0.95833333333333337</v>
      </c>
      <c r="E111" s="2"/>
      <c r="F111" s="2"/>
      <c r="G111" s="2"/>
      <c r="H111" s="2"/>
      <c r="I111" s="1"/>
      <c r="J111" s="43">
        <f>IF(B111="","-",DATE(YEAR(B111),MONTH(B111),1))</f>
        <v>45047</v>
      </c>
      <c r="K111" s="47">
        <f>D111-C111-E111</f>
        <v>0.16666666666666674</v>
      </c>
      <c r="L111" s="47">
        <f>MAX(0,D111-TIME(22,0,0))</f>
        <v>4.1666666666666741E-2</v>
      </c>
      <c r="M111" s="47">
        <f>G111-F111-H111</f>
        <v>0</v>
      </c>
    </row>
    <row r="112" spans="1:13">
      <c r="A112" s="24" t="s">
        <v>97</v>
      </c>
      <c r="B112" s="3">
        <v>45072</v>
      </c>
      <c r="C112" s="2">
        <v>0.79166666666666663</v>
      </c>
      <c r="D112" s="2">
        <v>0.95833333333333337</v>
      </c>
      <c r="E112" s="2"/>
      <c r="F112" s="2"/>
      <c r="G112" s="2"/>
      <c r="H112" s="2"/>
      <c r="I112" s="1"/>
      <c r="J112" s="43">
        <f>IF(B112="","-",DATE(YEAR(B112),MONTH(B112),1))</f>
        <v>45047</v>
      </c>
      <c r="K112" s="47">
        <f>D112-C112-E112</f>
        <v>0.16666666666666674</v>
      </c>
      <c r="L112" s="47">
        <f>MAX(0,D112-TIME(22,0,0))</f>
        <v>4.1666666666666741E-2</v>
      </c>
      <c r="M112" s="47">
        <f>G112-F112-H112</f>
        <v>0</v>
      </c>
    </row>
    <row r="113" spans="1:13">
      <c r="A113" s="24" t="s">
        <v>97</v>
      </c>
      <c r="B113" s="3">
        <v>45086</v>
      </c>
      <c r="C113" s="2">
        <v>0.79166666666666663</v>
      </c>
      <c r="D113" s="2">
        <v>0.95833333333333337</v>
      </c>
      <c r="E113" s="2"/>
      <c r="F113" s="2"/>
      <c r="G113" s="2"/>
      <c r="H113" s="2"/>
      <c r="I113" s="1"/>
      <c r="J113" s="43">
        <f>IF(B113="","-",DATE(YEAR(B113),MONTH(B113),1))</f>
        <v>45078</v>
      </c>
      <c r="K113" s="47">
        <f>D113-C113-E113</f>
        <v>0.16666666666666674</v>
      </c>
      <c r="L113" s="47">
        <f>MAX(0,D113-TIME(22,0,0))</f>
        <v>4.1666666666666741E-2</v>
      </c>
      <c r="M113" s="47">
        <f>G113-F113-H113</f>
        <v>0</v>
      </c>
    </row>
    <row r="114" spans="1:13">
      <c r="A114" s="24" t="s">
        <v>97</v>
      </c>
      <c r="B114" s="3">
        <v>45093</v>
      </c>
      <c r="C114" s="2">
        <v>0.79166666666666663</v>
      </c>
      <c r="D114" s="2">
        <v>0.95833333333333337</v>
      </c>
      <c r="E114" s="2"/>
      <c r="F114" s="2"/>
      <c r="G114" s="2"/>
      <c r="H114" s="2"/>
      <c r="I114" s="1"/>
      <c r="J114" s="43">
        <f>IF(B114="","-",DATE(YEAR(B114),MONTH(B114),1))</f>
        <v>45078</v>
      </c>
      <c r="K114" s="47">
        <f>D114-C114-E114</f>
        <v>0.16666666666666674</v>
      </c>
      <c r="L114" s="47">
        <f>MAX(0,D114-TIME(22,0,0))</f>
        <v>4.1666666666666741E-2</v>
      </c>
      <c r="M114" s="47">
        <f>G114-F114-H114</f>
        <v>0</v>
      </c>
    </row>
    <row r="115" spans="1:13">
      <c r="A115" s="24" t="s">
        <v>97</v>
      </c>
      <c r="B115" s="3">
        <v>45100</v>
      </c>
      <c r="C115" s="2">
        <v>0.79166666666666663</v>
      </c>
      <c r="D115" s="2">
        <v>0.95833333333333337</v>
      </c>
      <c r="E115" s="2"/>
      <c r="F115" s="2"/>
      <c r="G115" s="2"/>
      <c r="H115" s="2"/>
      <c r="I115" s="1"/>
      <c r="J115" s="43">
        <f>IF(B115="","-",DATE(YEAR(B115),MONTH(B115),1))</f>
        <v>45078</v>
      </c>
      <c r="K115" s="47">
        <f>D115-C115-E115</f>
        <v>0.16666666666666674</v>
      </c>
      <c r="L115" s="47">
        <f>MAX(0,D115-TIME(22,0,0))</f>
        <v>4.1666666666666741E-2</v>
      </c>
      <c r="M115" s="47">
        <f>G115-F115-H115</f>
        <v>0</v>
      </c>
    </row>
    <row r="116" spans="1:13">
      <c r="A116" s="24" t="s">
        <v>98</v>
      </c>
      <c r="B116" s="3">
        <v>45088</v>
      </c>
      <c r="C116" s="2"/>
      <c r="D116" s="2"/>
      <c r="E116" s="2"/>
      <c r="F116" s="2">
        <v>0.41666666666666669</v>
      </c>
      <c r="G116" s="2">
        <v>0.70833333333333337</v>
      </c>
      <c r="H116" s="2"/>
      <c r="I116" s="1"/>
      <c r="J116" s="43">
        <f>IF(B116="","-",DATE(YEAR(B116),MONTH(B116),1))</f>
        <v>45078</v>
      </c>
      <c r="K116" s="47">
        <f>D116-C116-E116</f>
        <v>0</v>
      </c>
      <c r="L116" s="47">
        <f>MAX(0,D116-TIME(22,0,0))</f>
        <v>0</v>
      </c>
      <c r="M116" s="47">
        <f>G116-F116-H116</f>
        <v>0.29166666666666669</v>
      </c>
    </row>
    <row r="117" spans="1:13">
      <c r="A117" s="24" t="s">
        <v>99</v>
      </c>
      <c r="B117" s="3">
        <v>45039</v>
      </c>
      <c r="C117" s="2"/>
      <c r="D117" s="2"/>
      <c r="E117" s="2"/>
      <c r="F117" s="2">
        <v>0.41666666666666669</v>
      </c>
      <c r="G117" s="2">
        <v>0.70833333333333337</v>
      </c>
      <c r="H117" s="2"/>
      <c r="I117" s="1"/>
      <c r="J117" s="43">
        <f>IF(B117="","-",DATE(YEAR(B117),MONTH(B117),1))</f>
        <v>45017</v>
      </c>
      <c r="K117" s="47">
        <f>D117-C117-E117</f>
        <v>0</v>
      </c>
      <c r="L117" s="47">
        <f>MAX(0,D117-TIME(22,0,0))</f>
        <v>0</v>
      </c>
      <c r="M117" s="47">
        <f>G117-F117-H117</f>
        <v>0.29166666666666669</v>
      </c>
    </row>
    <row r="118" spans="1:13">
      <c r="A118" s="24" t="s">
        <v>99</v>
      </c>
      <c r="B118" s="3">
        <v>45074</v>
      </c>
      <c r="C118" s="2"/>
      <c r="D118" s="2"/>
      <c r="E118" s="2"/>
      <c r="F118" s="2">
        <v>0.41666666666666669</v>
      </c>
      <c r="G118" s="2">
        <v>0.70833333333333337</v>
      </c>
      <c r="H118" s="2"/>
      <c r="I118" s="1"/>
      <c r="J118" s="43">
        <f>IF(B118="","-",DATE(YEAR(B118),MONTH(B118),1))</f>
        <v>45047</v>
      </c>
      <c r="K118" s="47">
        <f>D118-C118-E118</f>
        <v>0</v>
      </c>
      <c r="L118" s="47">
        <f>MAX(0,D118-TIME(22,0,0))</f>
        <v>0</v>
      </c>
      <c r="M118" s="47">
        <f>G118-F118-H118</f>
        <v>0.29166666666666669</v>
      </c>
    </row>
    <row r="119" spans="1:13">
      <c r="A119" s="24" t="s">
        <v>99</v>
      </c>
      <c r="B119" s="3">
        <v>45102</v>
      </c>
      <c r="C119" s="2"/>
      <c r="D119" s="2"/>
      <c r="E119" s="2"/>
      <c r="F119" s="2">
        <v>0.41666666666666669</v>
      </c>
      <c r="G119" s="2">
        <v>0.71527777777777779</v>
      </c>
      <c r="H119" s="2"/>
      <c r="I119" s="1"/>
      <c r="J119" s="43">
        <f>IF(B119="","-",DATE(YEAR(B119),MONTH(B119),1))</f>
        <v>45078</v>
      </c>
      <c r="K119" s="47">
        <f>D119-C119-E119</f>
        <v>0</v>
      </c>
      <c r="L119" s="47">
        <f>MAX(0,D119-TIME(22,0,0))</f>
        <v>0</v>
      </c>
      <c r="M119" s="47">
        <f>G119-F119-H119</f>
        <v>0.2986111111111111</v>
      </c>
    </row>
  </sheetData>
  <sortState xmlns:xlrd2="http://schemas.microsoft.com/office/spreadsheetml/2017/richdata2" ref="A2:M119">
    <sortCondition ref="A1"/>
    <sortCondition ref="B1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台帳並替">
                <anchor moveWithCells="1" sizeWithCells="1">
                  <from>
                    <xdr:col>13</xdr:col>
                    <xdr:colOff>121920</xdr:colOff>
                    <xdr:row>0</xdr:row>
                    <xdr:rowOff>83820</xdr:rowOff>
                  </from>
                  <to>
                    <xdr:col>15</xdr:col>
                    <xdr:colOff>403860</xdr:colOff>
                    <xdr:row>0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AJ91"/>
  <sheetViews>
    <sheetView showGridLines="0" showZeros="0" workbookViewId="0">
      <pane xSplit="4" ySplit="4" topLeftCell="E5" activePane="bottomRight" state="frozen"/>
      <selection activeCell="G19" sqref="G19"/>
      <selection pane="topRight" activeCell="G19" sqref="G19"/>
      <selection pane="bottomLeft" activeCell="G19" sqref="G19"/>
      <selection pane="bottomRight" activeCell="V4" sqref="V4"/>
    </sheetView>
  </sheetViews>
  <sheetFormatPr defaultRowHeight="18" outlineLevelCol="1"/>
  <cols>
    <col min="1" max="1" width="10" style="12" customWidth="1"/>
    <col min="2" max="2" width="7.5" style="31" bestFit="1" customWidth="1"/>
    <col min="3" max="3" width="9" style="31"/>
    <col min="4" max="4" width="15.09765625" style="27" bestFit="1" customWidth="1"/>
    <col min="5" max="5" width="5.19921875" style="12" bestFit="1" customWidth="1"/>
    <col min="6" max="6" width="7.5" style="32" bestFit="1" customWidth="1"/>
    <col min="7" max="8" width="7.59765625" style="34" customWidth="1"/>
    <col min="9" max="9" width="10.59765625" style="36" customWidth="1"/>
    <col min="10" max="10" width="6.5" style="32" bestFit="1" customWidth="1"/>
    <col min="11" max="12" width="7.59765625" style="34" customWidth="1"/>
    <col min="13" max="13" width="10.59765625" style="36" customWidth="1"/>
    <col min="14" max="14" width="5.19921875" style="12" bestFit="1" customWidth="1"/>
    <col min="15" max="15" width="7.5" style="32" bestFit="1" customWidth="1"/>
    <col min="16" max="17" width="7.59765625" style="34" customWidth="1"/>
    <col min="18" max="18" width="10.59765625" style="36" customWidth="1"/>
    <col min="19" max="19" width="6.5" style="36" customWidth="1"/>
    <col min="20" max="20" width="5.19921875" style="36" customWidth="1"/>
    <col min="21" max="21" width="7.09765625" style="36" customWidth="1"/>
    <col min="22" max="23" width="5.19921875" style="36" customWidth="1"/>
    <col min="24" max="24" width="7.09765625" style="36" customWidth="1"/>
    <col min="25" max="25" width="5.19921875" style="12" bestFit="1" customWidth="1"/>
    <col min="26" max="26" width="7.59765625" style="34" customWidth="1"/>
    <col min="27" max="27" width="10.19921875" style="37" bestFit="1" customWidth="1"/>
    <col min="28" max="29" width="8.69921875" style="37" customWidth="1"/>
    <col min="30" max="30" width="10.19921875" style="37" bestFit="1" customWidth="1"/>
    <col min="31" max="31" width="11" style="12" bestFit="1" customWidth="1"/>
    <col min="33" max="33" width="16.5" hidden="1" customWidth="1" outlineLevel="1"/>
    <col min="34" max="34" width="3.5" hidden="1" customWidth="1" outlineLevel="1"/>
    <col min="35" max="35" width="15.09765625" hidden="1" customWidth="1" outlineLevel="1"/>
    <col min="36" max="36" width="9" collapsed="1"/>
  </cols>
  <sheetData>
    <row r="1" spans="1:35">
      <c r="A1" s="83" t="s">
        <v>46</v>
      </c>
      <c r="B1" s="84">
        <v>45017</v>
      </c>
      <c r="C1" s="61"/>
    </row>
    <row r="2" spans="1:35" ht="18.75" customHeight="1">
      <c r="A2" s="141" t="s">
        <v>35</v>
      </c>
      <c r="B2" s="141"/>
      <c r="C2" s="141"/>
      <c r="D2" s="141"/>
      <c r="E2" s="162" t="s">
        <v>21</v>
      </c>
      <c r="F2" s="162"/>
      <c r="G2" s="162"/>
      <c r="H2" s="162"/>
      <c r="I2" s="162"/>
      <c r="J2" s="162"/>
      <c r="K2" s="162"/>
      <c r="L2" s="162"/>
      <c r="M2" s="162"/>
      <c r="N2" s="142" t="s">
        <v>22</v>
      </c>
      <c r="O2" s="143"/>
      <c r="P2" s="143"/>
      <c r="Q2" s="143"/>
      <c r="R2" s="144"/>
      <c r="S2" s="148" t="s">
        <v>73</v>
      </c>
      <c r="T2" s="149"/>
      <c r="U2" s="150"/>
      <c r="V2" s="154" t="s">
        <v>70</v>
      </c>
      <c r="W2" s="155"/>
      <c r="X2" s="156"/>
      <c r="Y2" s="160" t="s">
        <v>47</v>
      </c>
      <c r="Z2" s="163"/>
      <c r="AA2" s="163"/>
      <c r="AB2" s="163"/>
      <c r="AC2" s="163"/>
      <c r="AD2" s="161"/>
      <c r="AE2" s="138" t="s">
        <v>80</v>
      </c>
    </row>
    <row r="3" spans="1:35" ht="18.75" customHeight="1">
      <c r="A3" s="141"/>
      <c r="B3" s="141"/>
      <c r="C3" s="141"/>
      <c r="D3" s="141"/>
      <c r="E3" s="72" t="s">
        <v>78</v>
      </c>
      <c r="F3" s="162" t="s">
        <v>25</v>
      </c>
      <c r="G3" s="162"/>
      <c r="H3" s="162"/>
      <c r="I3" s="162"/>
      <c r="J3" s="162" t="s">
        <v>26</v>
      </c>
      <c r="K3" s="162"/>
      <c r="L3" s="162"/>
      <c r="M3" s="162"/>
      <c r="N3" s="145"/>
      <c r="O3" s="146"/>
      <c r="P3" s="146"/>
      <c r="Q3" s="146"/>
      <c r="R3" s="147"/>
      <c r="S3" s="151"/>
      <c r="T3" s="152"/>
      <c r="U3" s="153"/>
      <c r="V3" s="157"/>
      <c r="W3" s="158"/>
      <c r="X3" s="159"/>
      <c r="Y3" s="160" t="s">
        <v>79</v>
      </c>
      <c r="Z3" s="161"/>
      <c r="AA3" s="140" t="s">
        <v>29</v>
      </c>
      <c r="AB3" s="140"/>
      <c r="AC3" s="140"/>
      <c r="AD3" s="140"/>
      <c r="AE3" s="139"/>
    </row>
    <row r="4" spans="1:35" ht="36">
      <c r="A4" s="78" t="s">
        <v>32</v>
      </c>
      <c r="B4" s="78" t="s">
        <v>53</v>
      </c>
      <c r="C4" s="78" t="s">
        <v>34</v>
      </c>
      <c r="D4" s="78" t="s">
        <v>0</v>
      </c>
      <c r="E4" s="72" t="s">
        <v>24</v>
      </c>
      <c r="F4" s="39" t="s">
        <v>30</v>
      </c>
      <c r="G4" s="40" t="s">
        <v>27</v>
      </c>
      <c r="H4" s="40" t="s">
        <v>28</v>
      </c>
      <c r="I4" s="39" t="s">
        <v>31</v>
      </c>
      <c r="J4" s="39" t="s">
        <v>30</v>
      </c>
      <c r="K4" s="40" t="s">
        <v>27</v>
      </c>
      <c r="L4" s="40" t="s">
        <v>28</v>
      </c>
      <c r="M4" s="39" t="s">
        <v>31</v>
      </c>
      <c r="N4" s="73" t="s">
        <v>24</v>
      </c>
      <c r="O4" s="74" t="s">
        <v>30</v>
      </c>
      <c r="P4" s="75" t="s">
        <v>27</v>
      </c>
      <c r="Q4" s="75" t="s">
        <v>28</v>
      </c>
      <c r="R4" s="74" t="s">
        <v>29</v>
      </c>
      <c r="S4" s="85" t="s">
        <v>56</v>
      </c>
      <c r="T4" s="85" t="s">
        <v>55</v>
      </c>
      <c r="U4" s="85" t="s">
        <v>31</v>
      </c>
      <c r="V4" s="79" t="s">
        <v>56</v>
      </c>
      <c r="W4" s="79" t="s">
        <v>55</v>
      </c>
      <c r="X4" s="79" t="s">
        <v>29</v>
      </c>
      <c r="Y4" s="76" t="s">
        <v>24</v>
      </c>
      <c r="Z4" s="77" t="s">
        <v>28</v>
      </c>
      <c r="AA4" s="82" t="s">
        <v>77</v>
      </c>
      <c r="AB4" s="82" t="s">
        <v>75</v>
      </c>
      <c r="AC4" s="82" t="s">
        <v>76</v>
      </c>
      <c r="AD4" s="82" t="s">
        <v>74</v>
      </c>
      <c r="AE4" s="71" t="s">
        <v>23</v>
      </c>
    </row>
    <row r="5" spans="1:35">
      <c r="A5" s="28" t="s">
        <v>36</v>
      </c>
      <c r="B5" s="29" t="s">
        <v>208</v>
      </c>
      <c r="C5" s="29" t="s">
        <v>209</v>
      </c>
      <c r="D5" s="26" t="s">
        <v>122</v>
      </c>
      <c r="E5" s="28">
        <f t="shared" ref="E5:E36" ca="1" si="0">COUNTIFS(INDIRECT(台帳_A通常範囲),"&gt;0",INDIRECT(台帳_氏名範囲),$D5,INDIRECT(台帳_例月範囲),台帳_集計月)</f>
        <v>1</v>
      </c>
      <c r="F5" s="33">
        <v>17200</v>
      </c>
      <c r="G5" s="35">
        <f t="shared" ref="G5:G36" ca="1" si="1">SUMIFS(INDIRECT(台帳_A通常範囲),INDIRECT(台帳_氏名範囲),$D5,INDIRECT(台帳_例月範囲),台帳_集計月)</f>
        <v>0.16666666666666674</v>
      </c>
      <c r="H5" s="35">
        <f ca="1">IF(MINUTE(G5)&lt;30,FLOOR(G5,TIME(1,0,0)),CEILING(G5,TIME(1,0,0)))</f>
        <v>0.16666666666666666</v>
      </c>
      <c r="I5" s="44">
        <f ca="1">F5*H5/TIME(1,0,0)</f>
        <v>68800</v>
      </c>
      <c r="J5" s="33">
        <v>4300</v>
      </c>
      <c r="K5" s="35">
        <f t="shared" ref="K5:K36" ca="1" si="2">SUMIFS(INDIRECT(台帳_A深夜範囲),INDIRECT(台帳_氏名範囲),$D5,INDIRECT(台帳_例月範囲),台帳_集計月)</f>
        <v>4.1666666666666741E-2</v>
      </c>
      <c r="L5" s="35">
        <f ca="1">IF(MINUTE(K5)&lt;30,FLOOR(K5,TIME(1,0,0)),CEILING(K5,TIME(1,0,0)))</f>
        <v>4.1666666666666664E-2</v>
      </c>
      <c r="M5" s="44">
        <f ca="1">J5*L5/TIME(1,0,0)</f>
        <v>4300</v>
      </c>
      <c r="N5" s="28">
        <f t="shared" ref="N5:N36" ca="1" si="3">COUNTIFS(INDIRECT(台帳_B通常範囲),"&gt;0",INDIRECT(台帳_氏名範囲),$D5,INDIRECT(台帳_例月範囲),台帳_集計月)</f>
        <v>0</v>
      </c>
      <c r="O5" s="33">
        <v>17200</v>
      </c>
      <c r="P5" s="35">
        <f ca="1">SUMIFS(INDIRECT(台帳_B通常範囲),INDIRECT(台帳_氏名範囲),$D5,INDIRECT(台帳_例月範囲),台帳_集計月)</f>
        <v>0</v>
      </c>
      <c r="Q5" s="35">
        <f ca="1">IF(MINUTE(P5)&lt;30,FLOOR(P5,TIME(1,0,0)),CEILING(P5,TIME(1,0,0)))</f>
        <v>0</v>
      </c>
      <c r="R5" s="45">
        <f ca="1">O5*Q5/TIME(1,0,0)</f>
        <v>0</v>
      </c>
      <c r="S5" s="86">
        <v>8032</v>
      </c>
      <c r="T5" s="86">
        <f t="shared" ref="T5:T36" ca="1" si="4">COUNTIFS(INDIRECT(台帳_有給),"&lt;&gt;"&amp;"",INDIRECT(台帳_氏名範囲),$D5,INDIRECT(台帳_例月範囲),台帳_集計月)</f>
        <v>0</v>
      </c>
      <c r="U5" s="81">
        <f ca="1">ROUNDDOWN(S5*T5,0)</f>
        <v>0</v>
      </c>
      <c r="V5" s="86"/>
      <c r="W5" s="86">
        <f ca="1">SUM(E5,N5)</f>
        <v>1</v>
      </c>
      <c r="X5" s="80">
        <f ca="1">ROUNDDOWN(V5*W5,0)</f>
        <v>0</v>
      </c>
      <c r="Y5" s="62">
        <f ca="1">SUM(E5,N5,T5)</f>
        <v>1</v>
      </c>
      <c r="Z5" s="35">
        <f ca="1">SUM(H5,Q5)</f>
        <v>0.16666666666666666</v>
      </c>
      <c r="AA5" s="38">
        <f ca="1">SUM(I5,R5,U5)</f>
        <v>68800</v>
      </c>
      <c r="AB5" s="38">
        <f ca="1">M5</f>
        <v>4300</v>
      </c>
      <c r="AC5" s="38">
        <f ca="1">X5</f>
        <v>0</v>
      </c>
      <c r="AD5" s="48">
        <f ca="1">SUM(AA5:AC5)</f>
        <v>73100</v>
      </c>
      <c r="AE5" s="28" t="str">
        <f ca="1">IF(AA5=0,"","振込")</f>
        <v>振込</v>
      </c>
      <c r="AG5" s="1" t="s">
        <v>38</v>
      </c>
      <c r="AH5" s="1">
        <f>COUNTA(管理台帳!A:A)</f>
        <v>119</v>
      </c>
    </row>
    <row r="6" spans="1:35">
      <c r="A6" s="28" t="s">
        <v>36</v>
      </c>
      <c r="B6" s="29" t="s">
        <v>210</v>
      </c>
      <c r="C6" s="29" t="s">
        <v>211</v>
      </c>
      <c r="D6" s="26" t="s">
        <v>123</v>
      </c>
      <c r="E6" s="28">
        <f t="shared" ca="1" si="0"/>
        <v>0</v>
      </c>
      <c r="F6" s="33">
        <v>17200</v>
      </c>
      <c r="G6" s="35">
        <f t="shared" ca="1" si="1"/>
        <v>0</v>
      </c>
      <c r="H6" s="35">
        <f t="shared" ref="H6:H69" ca="1" si="5">IF(MINUTE(G6)&lt;30,FLOOR(G6,TIME(1,0,0)),CEILING(G6,TIME(1,0,0)))</f>
        <v>0</v>
      </c>
      <c r="I6" s="44">
        <f t="shared" ref="I6:I69" ca="1" si="6">F6*H6/TIME(1,0,0)</f>
        <v>0</v>
      </c>
      <c r="J6" s="33">
        <v>4300</v>
      </c>
      <c r="K6" s="35">
        <f t="shared" ca="1" si="2"/>
        <v>0</v>
      </c>
      <c r="L6" s="35">
        <f t="shared" ref="L6:L69" ca="1" si="7">IF(MINUTE(K6)&lt;30,FLOOR(K6,TIME(1,0,0)),CEILING(K6,TIME(1,0,0)))</f>
        <v>0</v>
      </c>
      <c r="M6" s="44">
        <f t="shared" ref="M6:M69" ca="1" si="8">J6*L6/TIME(1,0,0)</f>
        <v>0</v>
      </c>
      <c r="N6" s="28">
        <f t="shared" ca="1" si="3"/>
        <v>0</v>
      </c>
      <c r="O6" s="33">
        <v>17200</v>
      </c>
      <c r="P6" s="35">
        <f t="shared" ref="P6:P36" ca="1" si="9">SUMIFS(INDIRECT(台帳_B通常範囲),INDIRECT(台帳_氏名範囲),$D6,INDIRECT(台帳_例月範囲),台帳_集計月)</f>
        <v>0</v>
      </c>
      <c r="Q6" s="35">
        <f t="shared" ref="Q6:Q69" ca="1" si="10">IF(MINUTE(P6)&lt;30,FLOOR(P6,TIME(1,0,0)),CEILING(P6,TIME(1,0,0)))</f>
        <v>0</v>
      </c>
      <c r="R6" s="45">
        <f t="shared" ref="R6:R69" ca="1" si="11">O6*Q6/TIME(1,0,0)</f>
        <v>0</v>
      </c>
      <c r="S6" s="86">
        <v>8032</v>
      </c>
      <c r="T6" s="86">
        <f t="shared" ca="1" si="4"/>
        <v>0</v>
      </c>
      <c r="U6" s="81">
        <f t="shared" ref="U6:U69" ca="1" si="12">ROUNDDOWN(S6*T6,0)</f>
        <v>0</v>
      </c>
      <c r="V6" s="86"/>
      <c r="W6" s="86">
        <f t="shared" ref="W6:W69" ca="1" si="13">SUM(E6,N6)</f>
        <v>0</v>
      </c>
      <c r="X6" s="80">
        <f t="shared" ref="X6:X69" ca="1" si="14">ROUNDDOWN(V6*W6,0)</f>
        <v>0</v>
      </c>
      <c r="Y6" s="62">
        <f t="shared" ref="Y6:Y69" ca="1" si="15">SUM(E6,N6,T6)</f>
        <v>0</v>
      </c>
      <c r="Z6" s="35">
        <f t="shared" ref="Z6:Z69" ca="1" si="16">SUM(H6,Q6)</f>
        <v>0</v>
      </c>
      <c r="AA6" s="38">
        <f t="shared" ref="AA6:AA69" ca="1" si="17">SUM(I6,R6,U6)</f>
        <v>0</v>
      </c>
      <c r="AB6" s="38">
        <f t="shared" ref="AB6:AB69" ca="1" si="18">M6</f>
        <v>0</v>
      </c>
      <c r="AC6" s="38">
        <f t="shared" ref="AC6:AC69" ca="1" si="19">X6</f>
        <v>0</v>
      </c>
      <c r="AD6" s="48">
        <f t="shared" ref="AD6:AD69" ca="1" si="20">SUM(AA6:AC6)</f>
        <v>0</v>
      </c>
      <c r="AE6" s="28" t="str">
        <f t="shared" ref="AE6:AE69" ca="1" si="21">IF(AA6=0,"","振込")</f>
        <v/>
      </c>
    </row>
    <row r="7" spans="1:35">
      <c r="A7" s="28" t="s">
        <v>36</v>
      </c>
      <c r="B7" s="29" t="s">
        <v>212</v>
      </c>
      <c r="C7" s="29" t="s">
        <v>213</v>
      </c>
      <c r="D7" s="26" t="s">
        <v>124</v>
      </c>
      <c r="E7" s="28">
        <f t="shared" ca="1" si="0"/>
        <v>0</v>
      </c>
      <c r="F7" s="33">
        <v>17200</v>
      </c>
      <c r="G7" s="35">
        <f t="shared" ca="1" si="1"/>
        <v>0</v>
      </c>
      <c r="H7" s="35">
        <f t="shared" ca="1" si="5"/>
        <v>0</v>
      </c>
      <c r="I7" s="44">
        <f t="shared" ca="1" si="6"/>
        <v>0</v>
      </c>
      <c r="J7" s="33">
        <v>4300</v>
      </c>
      <c r="K7" s="35">
        <f t="shared" ca="1" si="2"/>
        <v>0</v>
      </c>
      <c r="L7" s="35">
        <f t="shared" ca="1" si="7"/>
        <v>0</v>
      </c>
      <c r="M7" s="44">
        <f t="shared" ca="1" si="8"/>
        <v>0</v>
      </c>
      <c r="N7" s="28">
        <f t="shared" ca="1" si="3"/>
        <v>0</v>
      </c>
      <c r="O7" s="33">
        <v>17200</v>
      </c>
      <c r="P7" s="35">
        <f t="shared" ca="1" si="9"/>
        <v>0</v>
      </c>
      <c r="Q7" s="35">
        <f t="shared" ca="1" si="10"/>
        <v>0</v>
      </c>
      <c r="R7" s="45">
        <f t="shared" ca="1" si="11"/>
        <v>0</v>
      </c>
      <c r="S7" s="86">
        <v>8032</v>
      </c>
      <c r="T7" s="86">
        <f t="shared" ca="1" si="4"/>
        <v>0</v>
      </c>
      <c r="U7" s="81">
        <f t="shared" ca="1" si="12"/>
        <v>0</v>
      </c>
      <c r="V7" s="86"/>
      <c r="W7" s="86">
        <f t="shared" ca="1" si="13"/>
        <v>0</v>
      </c>
      <c r="X7" s="80">
        <f t="shared" ca="1" si="14"/>
        <v>0</v>
      </c>
      <c r="Y7" s="62">
        <f t="shared" ca="1" si="15"/>
        <v>0</v>
      </c>
      <c r="Z7" s="35">
        <f t="shared" ca="1" si="16"/>
        <v>0</v>
      </c>
      <c r="AA7" s="38">
        <f t="shared" ca="1" si="17"/>
        <v>0</v>
      </c>
      <c r="AB7" s="38">
        <f t="shared" ca="1" si="18"/>
        <v>0</v>
      </c>
      <c r="AC7" s="38">
        <f t="shared" ca="1" si="19"/>
        <v>0</v>
      </c>
      <c r="AD7" s="48">
        <f t="shared" ca="1" si="20"/>
        <v>0</v>
      </c>
      <c r="AE7" s="28" t="str">
        <f t="shared" ca="1" si="21"/>
        <v/>
      </c>
      <c r="AG7" s="28" t="s">
        <v>44</v>
      </c>
      <c r="AH7" s="28" t="s">
        <v>42</v>
      </c>
      <c r="AI7" s="28" t="s">
        <v>43</v>
      </c>
    </row>
    <row r="8" spans="1:35">
      <c r="A8" s="28" t="s">
        <v>36</v>
      </c>
      <c r="B8" s="29" t="s">
        <v>214</v>
      </c>
      <c r="C8" s="29" t="s">
        <v>215</v>
      </c>
      <c r="D8" s="26" t="s">
        <v>125</v>
      </c>
      <c r="E8" s="28">
        <f t="shared" ca="1" si="0"/>
        <v>1</v>
      </c>
      <c r="F8" s="33">
        <v>17200</v>
      </c>
      <c r="G8" s="35">
        <f t="shared" ca="1" si="1"/>
        <v>0.16666666666666674</v>
      </c>
      <c r="H8" s="35">
        <f t="shared" ca="1" si="5"/>
        <v>0.16666666666666666</v>
      </c>
      <c r="I8" s="44">
        <f t="shared" ca="1" si="6"/>
        <v>68800</v>
      </c>
      <c r="J8" s="33">
        <v>4300</v>
      </c>
      <c r="K8" s="35">
        <f t="shared" ca="1" si="2"/>
        <v>4.1666666666666741E-2</v>
      </c>
      <c r="L8" s="35">
        <f t="shared" ca="1" si="7"/>
        <v>4.1666666666666664E-2</v>
      </c>
      <c r="M8" s="44">
        <f t="shared" ca="1" si="8"/>
        <v>4300</v>
      </c>
      <c r="N8" s="28">
        <f t="shared" ca="1" si="3"/>
        <v>0</v>
      </c>
      <c r="O8" s="33">
        <v>17200</v>
      </c>
      <c r="P8" s="35">
        <f t="shared" ca="1" si="9"/>
        <v>0</v>
      </c>
      <c r="Q8" s="35">
        <f t="shared" ca="1" si="10"/>
        <v>0</v>
      </c>
      <c r="R8" s="45">
        <f t="shared" ca="1" si="11"/>
        <v>0</v>
      </c>
      <c r="S8" s="86">
        <v>8032</v>
      </c>
      <c r="T8" s="86">
        <f t="shared" ca="1" si="4"/>
        <v>0</v>
      </c>
      <c r="U8" s="81">
        <f t="shared" ca="1" si="12"/>
        <v>0</v>
      </c>
      <c r="V8" s="86"/>
      <c r="W8" s="86">
        <f t="shared" ca="1" si="13"/>
        <v>1</v>
      </c>
      <c r="X8" s="80">
        <f t="shared" ca="1" si="14"/>
        <v>0</v>
      </c>
      <c r="Y8" s="62">
        <f t="shared" ca="1" si="15"/>
        <v>1</v>
      </c>
      <c r="Z8" s="35">
        <f t="shared" ca="1" si="16"/>
        <v>0.16666666666666666</v>
      </c>
      <c r="AA8" s="38">
        <f t="shared" ca="1" si="17"/>
        <v>68800</v>
      </c>
      <c r="AB8" s="38">
        <f t="shared" ca="1" si="18"/>
        <v>4300</v>
      </c>
      <c r="AC8" s="38">
        <f t="shared" ca="1" si="19"/>
        <v>0</v>
      </c>
      <c r="AD8" s="48">
        <f t="shared" ca="1" si="20"/>
        <v>73100</v>
      </c>
      <c r="AE8" s="28" t="str">
        <f t="shared" ca="1" si="21"/>
        <v>振込</v>
      </c>
      <c r="AG8" s="30" t="s">
        <v>37</v>
      </c>
      <c r="AH8" s="1">
        <f>COLUMN(管理台帳!A:A)</f>
        <v>1</v>
      </c>
      <c r="AI8" s="1" t="str">
        <f t="shared" ref="AI8:AI9" si="22">ADDRESS(2,AH8,4,,"管理台帳")&amp;":"&amp;ADDRESS($AH$5,AH8,4)</f>
        <v>管理台帳!A2:A119</v>
      </c>
    </row>
    <row r="9" spans="1:35">
      <c r="A9" s="28" t="s">
        <v>36</v>
      </c>
      <c r="B9" s="29" t="s">
        <v>216</v>
      </c>
      <c r="C9" s="29" t="s">
        <v>217</v>
      </c>
      <c r="D9" s="26" t="s">
        <v>126</v>
      </c>
      <c r="E9" s="28">
        <f t="shared" ca="1" si="0"/>
        <v>3</v>
      </c>
      <c r="F9" s="33">
        <v>17200</v>
      </c>
      <c r="G9" s="35">
        <f t="shared" ca="1" si="1"/>
        <v>0.50000000000000022</v>
      </c>
      <c r="H9" s="35">
        <f t="shared" ca="1" si="5"/>
        <v>0.5</v>
      </c>
      <c r="I9" s="44">
        <f t="shared" ca="1" si="6"/>
        <v>206400</v>
      </c>
      <c r="J9" s="33">
        <v>4300</v>
      </c>
      <c r="K9" s="35">
        <f t="shared" ca="1" si="2"/>
        <v>0.12500000000000022</v>
      </c>
      <c r="L9" s="35">
        <f t="shared" ca="1" si="7"/>
        <v>0.125</v>
      </c>
      <c r="M9" s="44">
        <f t="shared" ca="1" si="8"/>
        <v>12900</v>
      </c>
      <c r="N9" s="28">
        <f t="shared" ca="1" si="3"/>
        <v>1</v>
      </c>
      <c r="O9" s="33">
        <v>17200</v>
      </c>
      <c r="P9" s="35">
        <f t="shared" ca="1" si="9"/>
        <v>0.29166666666666669</v>
      </c>
      <c r="Q9" s="35">
        <f t="shared" ca="1" si="10"/>
        <v>0.29166666666666663</v>
      </c>
      <c r="R9" s="45">
        <f t="shared" ca="1" si="11"/>
        <v>120399.99999999999</v>
      </c>
      <c r="S9" s="86">
        <v>8032</v>
      </c>
      <c r="T9" s="86">
        <f t="shared" ca="1" si="4"/>
        <v>0</v>
      </c>
      <c r="U9" s="81">
        <f t="shared" ca="1" si="12"/>
        <v>0</v>
      </c>
      <c r="V9" s="86"/>
      <c r="W9" s="86">
        <f t="shared" ca="1" si="13"/>
        <v>4</v>
      </c>
      <c r="X9" s="80">
        <f t="shared" ca="1" si="14"/>
        <v>0</v>
      </c>
      <c r="Y9" s="62">
        <f t="shared" ca="1" si="15"/>
        <v>4</v>
      </c>
      <c r="Z9" s="35">
        <f t="shared" ca="1" si="16"/>
        <v>0.79166666666666663</v>
      </c>
      <c r="AA9" s="38">
        <f t="shared" ca="1" si="17"/>
        <v>326800</v>
      </c>
      <c r="AB9" s="38">
        <f t="shared" ca="1" si="18"/>
        <v>12900</v>
      </c>
      <c r="AC9" s="38">
        <f t="shared" ca="1" si="19"/>
        <v>0</v>
      </c>
      <c r="AD9" s="48">
        <f t="shared" ca="1" si="20"/>
        <v>339700</v>
      </c>
      <c r="AE9" s="28" t="str">
        <f t="shared" ca="1" si="21"/>
        <v>振込</v>
      </c>
      <c r="AG9" s="30" t="s">
        <v>45</v>
      </c>
      <c r="AH9" s="1">
        <f>COLUMN(管理台帳!J:J)</f>
        <v>10</v>
      </c>
      <c r="AI9" s="1" t="str">
        <f t="shared" si="22"/>
        <v>管理台帳!J2:J119</v>
      </c>
    </row>
    <row r="10" spans="1:35">
      <c r="A10" s="28" t="s">
        <v>36</v>
      </c>
      <c r="B10" s="29" t="s">
        <v>218</v>
      </c>
      <c r="C10" s="29" t="s">
        <v>219</v>
      </c>
      <c r="D10" s="26" t="s">
        <v>127</v>
      </c>
      <c r="E10" s="28">
        <f t="shared" ca="1" si="0"/>
        <v>0</v>
      </c>
      <c r="F10" s="33">
        <v>17200</v>
      </c>
      <c r="G10" s="35">
        <f t="shared" ca="1" si="1"/>
        <v>0</v>
      </c>
      <c r="H10" s="35">
        <f t="shared" ca="1" si="5"/>
        <v>0</v>
      </c>
      <c r="I10" s="44">
        <f t="shared" ca="1" si="6"/>
        <v>0</v>
      </c>
      <c r="J10" s="33">
        <v>4300</v>
      </c>
      <c r="K10" s="35">
        <f t="shared" ca="1" si="2"/>
        <v>0</v>
      </c>
      <c r="L10" s="35">
        <f t="shared" ca="1" si="7"/>
        <v>0</v>
      </c>
      <c r="M10" s="44">
        <f t="shared" ca="1" si="8"/>
        <v>0</v>
      </c>
      <c r="N10" s="28">
        <f t="shared" ca="1" si="3"/>
        <v>2</v>
      </c>
      <c r="O10" s="33">
        <v>17200</v>
      </c>
      <c r="P10" s="35">
        <f t="shared" ca="1" si="9"/>
        <v>0.58333333333333337</v>
      </c>
      <c r="Q10" s="35">
        <f t="shared" ca="1" si="10"/>
        <v>0.58333333333333326</v>
      </c>
      <c r="R10" s="45">
        <f t="shared" ca="1" si="11"/>
        <v>240799.99999999997</v>
      </c>
      <c r="S10" s="86">
        <v>8032</v>
      </c>
      <c r="T10" s="86">
        <f t="shared" ca="1" si="4"/>
        <v>0</v>
      </c>
      <c r="U10" s="81">
        <f t="shared" ca="1" si="12"/>
        <v>0</v>
      </c>
      <c r="V10" s="86"/>
      <c r="W10" s="86">
        <f t="shared" ca="1" si="13"/>
        <v>2</v>
      </c>
      <c r="X10" s="80">
        <f t="shared" ca="1" si="14"/>
        <v>0</v>
      </c>
      <c r="Y10" s="62">
        <f t="shared" ca="1" si="15"/>
        <v>2</v>
      </c>
      <c r="Z10" s="35">
        <f t="shared" ca="1" si="16"/>
        <v>0.58333333333333326</v>
      </c>
      <c r="AA10" s="38">
        <f t="shared" ca="1" si="17"/>
        <v>240799.99999999997</v>
      </c>
      <c r="AB10" s="38">
        <f t="shared" ca="1" si="18"/>
        <v>0</v>
      </c>
      <c r="AC10" s="38">
        <f t="shared" ca="1" si="19"/>
        <v>0</v>
      </c>
      <c r="AD10" s="48">
        <f t="shared" ca="1" si="20"/>
        <v>240799.99999999997</v>
      </c>
      <c r="AE10" s="28" t="str">
        <f t="shared" ca="1" si="21"/>
        <v>振込</v>
      </c>
      <c r="AG10" s="1" t="s">
        <v>39</v>
      </c>
      <c r="AH10" s="1">
        <f>COLUMN(管理台帳!K:K)</f>
        <v>11</v>
      </c>
      <c r="AI10" s="1" t="str">
        <f>ADDRESS(2,AH10,4,,"管理台帳")&amp;":"&amp;ADDRESS($AH$5,AH10,4)</f>
        <v>管理台帳!K2:K119</v>
      </c>
    </row>
    <row r="11" spans="1:35">
      <c r="A11" s="28" t="s">
        <v>36</v>
      </c>
      <c r="B11" s="29" t="s">
        <v>220</v>
      </c>
      <c r="C11" s="29" t="s">
        <v>221</v>
      </c>
      <c r="D11" s="26" t="s">
        <v>128</v>
      </c>
      <c r="E11" s="28">
        <f t="shared" ca="1" si="0"/>
        <v>3</v>
      </c>
      <c r="F11" s="33">
        <v>17200</v>
      </c>
      <c r="G11" s="35">
        <f t="shared" ca="1" si="1"/>
        <v>0.50000000000000022</v>
      </c>
      <c r="H11" s="35">
        <f t="shared" ca="1" si="5"/>
        <v>0.5</v>
      </c>
      <c r="I11" s="44">
        <f t="shared" ca="1" si="6"/>
        <v>206400</v>
      </c>
      <c r="J11" s="33">
        <v>4300</v>
      </c>
      <c r="K11" s="35">
        <f t="shared" ca="1" si="2"/>
        <v>0.12500000000000022</v>
      </c>
      <c r="L11" s="35">
        <f t="shared" ca="1" si="7"/>
        <v>0.125</v>
      </c>
      <c r="M11" s="44">
        <f t="shared" ca="1" si="8"/>
        <v>12900</v>
      </c>
      <c r="N11" s="28">
        <f t="shared" ca="1" si="3"/>
        <v>0</v>
      </c>
      <c r="O11" s="33">
        <v>17200</v>
      </c>
      <c r="P11" s="35">
        <f t="shared" ca="1" si="9"/>
        <v>0</v>
      </c>
      <c r="Q11" s="35">
        <f t="shared" ca="1" si="10"/>
        <v>0</v>
      </c>
      <c r="R11" s="45">
        <f t="shared" ca="1" si="11"/>
        <v>0</v>
      </c>
      <c r="S11" s="86">
        <v>8032</v>
      </c>
      <c r="T11" s="86">
        <f t="shared" ca="1" si="4"/>
        <v>0</v>
      </c>
      <c r="U11" s="81">
        <f t="shared" ca="1" si="12"/>
        <v>0</v>
      </c>
      <c r="V11" s="86"/>
      <c r="W11" s="86">
        <f t="shared" ca="1" si="13"/>
        <v>3</v>
      </c>
      <c r="X11" s="80">
        <f t="shared" ca="1" si="14"/>
        <v>0</v>
      </c>
      <c r="Y11" s="62">
        <f t="shared" ca="1" si="15"/>
        <v>3</v>
      </c>
      <c r="Z11" s="35">
        <f t="shared" ca="1" si="16"/>
        <v>0.5</v>
      </c>
      <c r="AA11" s="38">
        <f t="shared" ca="1" si="17"/>
        <v>206400</v>
      </c>
      <c r="AB11" s="38">
        <f t="shared" ca="1" si="18"/>
        <v>12900</v>
      </c>
      <c r="AC11" s="38">
        <f t="shared" ca="1" si="19"/>
        <v>0</v>
      </c>
      <c r="AD11" s="48">
        <f t="shared" ca="1" si="20"/>
        <v>219300</v>
      </c>
      <c r="AE11" s="28" t="str">
        <f t="shared" ca="1" si="21"/>
        <v>振込</v>
      </c>
      <c r="AG11" s="1" t="s">
        <v>40</v>
      </c>
      <c r="AH11" s="1">
        <f>COLUMN(管理台帳!L:L)</f>
        <v>12</v>
      </c>
      <c r="AI11" s="1" t="str">
        <f t="shared" ref="AI11:AI12" si="23">ADDRESS(2,AH11,4,,"管理台帳")&amp;":"&amp;ADDRESS($AH$5,AH11,4)</f>
        <v>管理台帳!L2:L119</v>
      </c>
    </row>
    <row r="12" spans="1:35">
      <c r="A12" s="28" t="s">
        <v>36</v>
      </c>
      <c r="B12" s="29" t="s">
        <v>222</v>
      </c>
      <c r="C12" s="29" t="s">
        <v>223</v>
      </c>
      <c r="D12" s="26" t="s">
        <v>129</v>
      </c>
      <c r="E12" s="28">
        <f t="shared" ca="1" si="0"/>
        <v>0</v>
      </c>
      <c r="F12" s="33">
        <v>17200</v>
      </c>
      <c r="G12" s="35">
        <f t="shared" ca="1" si="1"/>
        <v>0</v>
      </c>
      <c r="H12" s="35">
        <f t="shared" ca="1" si="5"/>
        <v>0</v>
      </c>
      <c r="I12" s="44">
        <f t="shared" ca="1" si="6"/>
        <v>0</v>
      </c>
      <c r="J12" s="33">
        <v>4300</v>
      </c>
      <c r="K12" s="35">
        <f t="shared" ca="1" si="2"/>
        <v>0</v>
      </c>
      <c r="L12" s="35">
        <f t="shared" ca="1" si="7"/>
        <v>0</v>
      </c>
      <c r="M12" s="44">
        <f t="shared" ca="1" si="8"/>
        <v>0</v>
      </c>
      <c r="N12" s="28">
        <f t="shared" ca="1" si="3"/>
        <v>0</v>
      </c>
      <c r="O12" s="33">
        <v>17200</v>
      </c>
      <c r="P12" s="35">
        <f t="shared" ca="1" si="9"/>
        <v>0</v>
      </c>
      <c r="Q12" s="35">
        <f t="shared" ca="1" si="10"/>
        <v>0</v>
      </c>
      <c r="R12" s="45">
        <f t="shared" ca="1" si="11"/>
        <v>0</v>
      </c>
      <c r="S12" s="86">
        <v>8032</v>
      </c>
      <c r="T12" s="86">
        <f t="shared" ca="1" si="4"/>
        <v>0</v>
      </c>
      <c r="U12" s="81">
        <f t="shared" ca="1" si="12"/>
        <v>0</v>
      </c>
      <c r="V12" s="86"/>
      <c r="W12" s="86">
        <f t="shared" ca="1" si="13"/>
        <v>0</v>
      </c>
      <c r="X12" s="80">
        <f t="shared" ca="1" si="14"/>
        <v>0</v>
      </c>
      <c r="Y12" s="62">
        <f t="shared" ca="1" si="15"/>
        <v>0</v>
      </c>
      <c r="Z12" s="35">
        <f t="shared" ca="1" si="16"/>
        <v>0</v>
      </c>
      <c r="AA12" s="38">
        <f t="shared" ca="1" si="17"/>
        <v>0</v>
      </c>
      <c r="AB12" s="38">
        <f t="shared" ca="1" si="18"/>
        <v>0</v>
      </c>
      <c r="AC12" s="38">
        <f t="shared" ca="1" si="19"/>
        <v>0</v>
      </c>
      <c r="AD12" s="48">
        <f t="shared" ca="1" si="20"/>
        <v>0</v>
      </c>
      <c r="AE12" s="28" t="str">
        <f t="shared" ca="1" si="21"/>
        <v/>
      </c>
      <c r="AG12" s="1" t="s">
        <v>41</v>
      </c>
      <c r="AH12" s="1">
        <f>COLUMN(管理台帳!M:M)</f>
        <v>13</v>
      </c>
      <c r="AI12" s="1" t="str">
        <f t="shared" si="23"/>
        <v>管理台帳!M2:M119</v>
      </c>
    </row>
    <row r="13" spans="1:35">
      <c r="A13" s="28" t="s">
        <v>36</v>
      </c>
      <c r="B13" s="29" t="s">
        <v>224</v>
      </c>
      <c r="C13" s="29" t="s">
        <v>225</v>
      </c>
      <c r="D13" s="26" t="s">
        <v>130</v>
      </c>
      <c r="E13" s="28">
        <f t="shared" ca="1" si="0"/>
        <v>0</v>
      </c>
      <c r="F13" s="33">
        <v>17200</v>
      </c>
      <c r="G13" s="35">
        <f t="shared" ca="1" si="1"/>
        <v>0</v>
      </c>
      <c r="H13" s="35">
        <f t="shared" ca="1" si="5"/>
        <v>0</v>
      </c>
      <c r="I13" s="44">
        <f t="shared" ca="1" si="6"/>
        <v>0</v>
      </c>
      <c r="J13" s="33">
        <v>4300</v>
      </c>
      <c r="K13" s="35">
        <f t="shared" ca="1" si="2"/>
        <v>0</v>
      </c>
      <c r="L13" s="35">
        <f t="shared" ca="1" si="7"/>
        <v>0</v>
      </c>
      <c r="M13" s="44">
        <f t="shared" ca="1" si="8"/>
        <v>0</v>
      </c>
      <c r="N13" s="28">
        <f t="shared" ca="1" si="3"/>
        <v>1</v>
      </c>
      <c r="O13" s="33">
        <v>17200</v>
      </c>
      <c r="P13" s="35">
        <f t="shared" ca="1" si="9"/>
        <v>0.29166666666666669</v>
      </c>
      <c r="Q13" s="35">
        <f t="shared" ca="1" si="10"/>
        <v>0.29166666666666663</v>
      </c>
      <c r="R13" s="45">
        <f t="shared" ca="1" si="11"/>
        <v>120399.99999999999</v>
      </c>
      <c r="S13" s="86">
        <v>8032</v>
      </c>
      <c r="T13" s="86">
        <f t="shared" ca="1" si="4"/>
        <v>0</v>
      </c>
      <c r="U13" s="81">
        <f t="shared" ca="1" si="12"/>
        <v>0</v>
      </c>
      <c r="V13" s="86"/>
      <c r="W13" s="86">
        <f t="shared" ca="1" si="13"/>
        <v>1</v>
      </c>
      <c r="X13" s="80">
        <f t="shared" ca="1" si="14"/>
        <v>0</v>
      </c>
      <c r="Y13" s="62">
        <f t="shared" ca="1" si="15"/>
        <v>1</v>
      </c>
      <c r="Z13" s="35">
        <f t="shared" ca="1" si="16"/>
        <v>0.29166666666666663</v>
      </c>
      <c r="AA13" s="38">
        <f t="shared" ca="1" si="17"/>
        <v>120399.99999999999</v>
      </c>
      <c r="AB13" s="38">
        <f t="shared" ca="1" si="18"/>
        <v>0</v>
      </c>
      <c r="AC13" s="38">
        <f t="shared" ca="1" si="19"/>
        <v>0</v>
      </c>
      <c r="AD13" s="48">
        <f t="shared" ca="1" si="20"/>
        <v>120399.99999999999</v>
      </c>
      <c r="AE13" s="28" t="str">
        <f t="shared" ca="1" si="21"/>
        <v>振込</v>
      </c>
      <c r="AG13" s="1" t="s">
        <v>72</v>
      </c>
      <c r="AH13" s="1">
        <f>COLUMN(管理台帳!I:I)</f>
        <v>9</v>
      </c>
      <c r="AI13" s="1" t="str">
        <f>ADDRESS(2,AH13,4,,"管理台帳")&amp;":"&amp;ADDRESS($AH$5,AH13,4)</f>
        <v>管理台帳!I2:I119</v>
      </c>
    </row>
    <row r="14" spans="1:35">
      <c r="A14" s="28" t="s">
        <v>36</v>
      </c>
      <c r="B14" s="29" t="s">
        <v>226</v>
      </c>
      <c r="C14" s="29" t="s">
        <v>227</v>
      </c>
      <c r="D14" s="26" t="s">
        <v>131</v>
      </c>
      <c r="E14" s="28">
        <f t="shared" ca="1" si="0"/>
        <v>0</v>
      </c>
      <c r="F14" s="33">
        <v>17200</v>
      </c>
      <c r="G14" s="35">
        <f t="shared" ca="1" si="1"/>
        <v>0</v>
      </c>
      <c r="H14" s="35">
        <f t="shared" ca="1" si="5"/>
        <v>0</v>
      </c>
      <c r="I14" s="44">
        <f t="shared" ca="1" si="6"/>
        <v>0</v>
      </c>
      <c r="J14" s="33">
        <v>4300</v>
      </c>
      <c r="K14" s="35">
        <f t="shared" ca="1" si="2"/>
        <v>0</v>
      </c>
      <c r="L14" s="35">
        <f t="shared" ca="1" si="7"/>
        <v>0</v>
      </c>
      <c r="M14" s="44">
        <f t="shared" ca="1" si="8"/>
        <v>0</v>
      </c>
      <c r="N14" s="28">
        <f t="shared" ca="1" si="3"/>
        <v>0</v>
      </c>
      <c r="O14" s="33">
        <v>17200</v>
      </c>
      <c r="P14" s="35">
        <f t="shared" ca="1" si="9"/>
        <v>0</v>
      </c>
      <c r="Q14" s="35">
        <f t="shared" ca="1" si="10"/>
        <v>0</v>
      </c>
      <c r="R14" s="45">
        <f t="shared" ca="1" si="11"/>
        <v>0</v>
      </c>
      <c r="S14" s="86">
        <v>8032</v>
      </c>
      <c r="T14" s="86">
        <f t="shared" ca="1" si="4"/>
        <v>0</v>
      </c>
      <c r="U14" s="81">
        <f t="shared" ca="1" si="12"/>
        <v>0</v>
      </c>
      <c r="V14" s="86"/>
      <c r="W14" s="86">
        <f t="shared" ca="1" si="13"/>
        <v>0</v>
      </c>
      <c r="X14" s="80">
        <f t="shared" ca="1" si="14"/>
        <v>0</v>
      </c>
      <c r="Y14" s="62">
        <f t="shared" ca="1" si="15"/>
        <v>0</v>
      </c>
      <c r="Z14" s="35">
        <f t="shared" ca="1" si="16"/>
        <v>0</v>
      </c>
      <c r="AA14" s="38">
        <f t="shared" ca="1" si="17"/>
        <v>0</v>
      </c>
      <c r="AB14" s="38">
        <f t="shared" ca="1" si="18"/>
        <v>0</v>
      </c>
      <c r="AC14" s="38">
        <f t="shared" ca="1" si="19"/>
        <v>0</v>
      </c>
      <c r="AD14" s="48">
        <f t="shared" ca="1" si="20"/>
        <v>0</v>
      </c>
      <c r="AE14" s="28" t="str">
        <f t="shared" ca="1" si="21"/>
        <v/>
      </c>
    </row>
    <row r="15" spans="1:35">
      <c r="A15" s="28" t="s">
        <v>36</v>
      </c>
      <c r="B15" s="29" t="s">
        <v>228</v>
      </c>
      <c r="C15" s="29" t="s">
        <v>229</v>
      </c>
      <c r="D15" s="26" t="s">
        <v>132</v>
      </c>
      <c r="E15" s="28">
        <f t="shared" ca="1" si="0"/>
        <v>0</v>
      </c>
      <c r="F15" s="33">
        <v>17200</v>
      </c>
      <c r="G15" s="35">
        <f t="shared" ca="1" si="1"/>
        <v>0</v>
      </c>
      <c r="H15" s="35">
        <f t="shared" ca="1" si="5"/>
        <v>0</v>
      </c>
      <c r="I15" s="44">
        <f t="shared" ca="1" si="6"/>
        <v>0</v>
      </c>
      <c r="J15" s="33">
        <v>4300</v>
      </c>
      <c r="K15" s="35">
        <f t="shared" ca="1" si="2"/>
        <v>0</v>
      </c>
      <c r="L15" s="35">
        <f t="shared" ca="1" si="7"/>
        <v>0</v>
      </c>
      <c r="M15" s="44">
        <f t="shared" ca="1" si="8"/>
        <v>0</v>
      </c>
      <c r="N15" s="28">
        <f t="shared" ca="1" si="3"/>
        <v>0</v>
      </c>
      <c r="O15" s="33">
        <v>17200</v>
      </c>
      <c r="P15" s="35">
        <f t="shared" ca="1" si="9"/>
        <v>0</v>
      </c>
      <c r="Q15" s="35">
        <f t="shared" ca="1" si="10"/>
        <v>0</v>
      </c>
      <c r="R15" s="45">
        <f t="shared" ca="1" si="11"/>
        <v>0</v>
      </c>
      <c r="S15" s="86">
        <v>8032</v>
      </c>
      <c r="T15" s="86">
        <f t="shared" ca="1" si="4"/>
        <v>0</v>
      </c>
      <c r="U15" s="81">
        <f t="shared" ca="1" si="12"/>
        <v>0</v>
      </c>
      <c r="V15" s="86"/>
      <c r="W15" s="86">
        <f t="shared" ca="1" si="13"/>
        <v>0</v>
      </c>
      <c r="X15" s="80">
        <f t="shared" ca="1" si="14"/>
        <v>0</v>
      </c>
      <c r="Y15" s="62">
        <f t="shared" ca="1" si="15"/>
        <v>0</v>
      </c>
      <c r="Z15" s="35">
        <f t="shared" ca="1" si="16"/>
        <v>0</v>
      </c>
      <c r="AA15" s="38">
        <f t="shared" ca="1" si="17"/>
        <v>0</v>
      </c>
      <c r="AB15" s="38">
        <f t="shared" ca="1" si="18"/>
        <v>0</v>
      </c>
      <c r="AC15" s="38">
        <f t="shared" ca="1" si="19"/>
        <v>0</v>
      </c>
      <c r="AD15" s="48">
        <f t="shared" ca="1" si="20"/>
        <v>0</v>
      </c>
      <c r="AE15" s="28" t="str">
        <f t="shared" ca="1" si="21"/>
        <v/>
      </c>
    </row>
    <row r="16" spans="1:35">
      <c r="A16" s="28" t="s">
        <v>36</v>
      </c>
      <c r="B16" s="29" t="s">
        <v>230</v>
      </c>
      <c r="C16" s="29" t="s">
        <v>231</v>
      </c>
      <c r="D16" s="26" t="s">
        <v>133</v>
      </c>
      <c r="E16" s="28">
        <f t="shared" ca="1" si="0"/>
        <v>0</v>
      </c>
      <c r="F16" s="33">
        <v>17200</v>
      </c>
      <c r="G16" s="35">
        <f t="shared" ca="1" si="1"/>
        <v>0</v>
      </c>
      <c r="H16" s="35">
        <f t="shared" ca="1" si="5"/>
        <v>0</v>
      </c>
      <c r="I16" s="44">
        <f t="shared" ca="1" si="6"/>
        <v>0</v>
      </c>
      <c r="J16" s="33">
        <v>4300</v>
      </c>
      <c r="K16" s="35">
        <f t="shared" ca="1" si="2"/>
        <v>0</v>
      </c>
      <c r="L16" s="35">
        <f t="shared" ca="1" si="7"/>
        <v>0</v>
      </c>
      <c r="M16" s="44">
        <f t="shared" ca="1" si="8"/>
        <v>0</v>
      </c>
      <c r="N16" s="28">
        <f t="shared" ca="1" si="3"/>
        <v>1</v>
      </c>
      <c r="O16" s="33">
        <v>17200</v>
      </c>
      <c r="P16" s="35">
        <f t="shared" ca="1" si="9"/>
        <v>0.30555555555555552</v>
      </c>
      <c r="Q16" s="35">
        <f t="shared" ca="1" si="10"/>
        <v>0.29166666666666663</v>
      </c>
      <c r="R16" s="45">
        <f t="shared" ca="1" si="11"/>
        <v>120399.99999999999</v>
      </c>
      <c r="S16" s="86">
        <v>8032</v>
      </c>
      <c r="T16" s="86">
        <f t="shared" ca="1" si="4"/>
        <v>0</v>
      </c>
      <c r="U16" s="81">
        <f t="shared" ca="1" si="12"/>
        <v>0</v>
      </c>
      <c r="V16" s="86"/>
      <c r="W16" s="86">
        <f t="shared" ca="1" si="13"/>
        <v>1</v>
      </c>
      <c r="X16" s="80">
        <f t="shared" ca="1" si="14"/>
        <v>0</v>
      </c>
      <c r="Y16" s="62">
        <f t="shared" ca="1" si="15"/>
        <v>1</v>
      </c>
      <c r="Z16" s="35">
        <f t="shared" ca="1" si="16"/>
        <v>0.29166666666666663</v>
      </c>
      <c r="AA16" s="38">
        <f t="shared" ca="1" si="17"/>
        <v>120399.99999999999</v>
      </c>
      <c r="AB16" s="38">
        <f t="shared" ca="1" si="18"/>
        <v>0</v>
      </c>
      <c r="AC16" s="38">
        <f t="shared" ca="1" si="19"/>
        <v>0</v>
      </c>
      <c r="AD16" s="48">
        <f t="shared" ca="1" si="20"/>
        <v>120399.99999999999</v>
      </c>
      <c r="AE16" s="28" t="str">
        <f t="shared" ca="1" si="21"/>
        <v>振込</v>
      </c>
    </row>
    <row r="17" spans="1:31">
      <c r="A17" s="28" t="s">
        <v>36</v>
      </c>
      <c r="B17" s="29" t="s">
        <v>232</v>
      </c>
      <c r="C17" s="29" t="s">
        <v>233</v>
      </c>
      <c r="D17" s="26" t="s">
        <v>134</v>
      </c>
      <c r="E17" s="28">
        <f t="shared" ca="1" si="0"/>
        <v>0</v>
      </c>
      <c r="F17" s="33">
        <v>17200</v>
      </c>
      <c r="G17" s="35">
        <f t="shared" ca="1" si="1"/>
        <v>0</v>
      </c>
      <c r="H17" s="35">
        <f t="shared" ca="1" si="5"/>
        <v>0</v>
      </c>
      <c r="I17" s="44">
        <f t="shared" ca="1" si="6"/>
        <v>0</v>
      </c>
      <c r="J17" s="33">
        <v>4300</v>
      </c>
      <c r="K17" s="35">
        <f t="shared" ca="1" si="2"/>
        <v>0</v>
      </c>
      <c r="L17" s="35">
        <f t="shared" ca="1" si="7"/>
        <v>0</v>
      </c>
      <c r="M17" s="44">
        <f t="shared" ca="1" si="8"/>
        <v>0</v>
      </c>
      <c r="N17" s="28">
        <f t="shared" ca="1" si="3"/>
        <v>1</v>
      </c>
      <c r="O17" s="33">
        <v>17200</v>
      </c>
      <c r="P17" s="35">
        <f t="shared" ca="1" si="9"/>
        <v>0.29513888888888878</v>
      </c>
      <c r="Q17" s="35">
        <f t="shared" ca="1" si="10"/>
        <v>0.29166666666666663</v>
      </c>
      <c r="R17" s="45">
        <f t="shared" ca="1" si="11"/>
        <v>120399.99999999999</v>
      </c>
      <c r="S17" s="86">
        <v>8032</v>
      </c>
      <c r="T17" s="86">
        <f t="shared" ca="1" si="4"/>
        <v>0</v>
      </c>
      <c r="U17" s="81">
        <f t="shared" ca="1" si="12"/>
        <v>0</v>
      </c>
      <c r="V17" s="86"/>
      <c r="W17" s="86">
        <f t="shared" ca="1" si="13"/>
        <v>1</v>
      </c>
      <c r="X17" s="80">
        <f t="shared" ca="1" si="14"/>
        <v>0</v>
      </c>
      <c r="Y17" s="62">
        <f t="shared" ca="1" si="15"/>
        <v>1</v>
      </c>
      <c r="Z17" s="35">
        <f t="shared" ca="1" si="16"/>
        <v>0.29166666666666663</v>
      </c>
      <c r="AA17" s="38">
        <f t="shared" ca="1" si="17"/>
        <v>120399.99999999999</v>
      </c>
      <c r="AB17" s="38">
        <f t="shared" ca="1" si="18"/>
        <v>0</v>
      </c>
      <c r="AC17" s="38">
        <f t="shared" ca="1" si="19"/>
        <v>0</v>
      </c>
      <c r="AD17" s="48">
        <f t="shared" ca="1" si="20"/>
        <v>120399.99999999999</v>
      </c>
      <c r="AE17" s="28" t="str">
        <f t="shared" ca="1" si="21"/>
        <v>振込</v>
      </c>
    </row>
    <row r="18" spans="1:31">
      <c r="A18" s="28" t="s">
        <v>36</v>
      </c>
      <c r="B18" s="29" t="s">
        <v>234</v>
      </c>
      <c r="C18" s="29" t="s">
        <v>235</v>
      </c>
      <c r="D18" s="26" t="s">
        <v>135</v>
      </c>
      <c r="E18" s="28">
        <f t="shared" ca="1" si="0"/>
        <v>2</v>
      </c>
      <c r="F18" s="33">
        <v>17200</v>
      </c>
      <c r="G18" s="35">
        <f t="shared" ca="1" si="1"/>
        <v>0.33333333333333348</v>
      </c>
      <c r="H18" s="35">
        <f t="shared" ca="1" si="5"/>
        <v>0.33333333333333331</v>
      </c>
      <c r="I18" s="44">
        <f t="shared" ca="1" si="6"/>
        <v>137600</v>
      </c>
      <c r="J18" s="33">
        <v>4300</v>
      </c>
      <c r="K18" s="35">
        <f t="shared" ca="1" si="2"/>
        <v>8.3333333333333481E-2</v>
      </c>
      <c r="L18" s="35">
        <f t="shared" ca="1" si="7"/>
        <v>8.3333333333333329E-2</v>
      </c>
      <c r="M18" s="44">
        <f t="shared" ca="1" si="8"/>
        <v>8600</v>
      </c>
      <c r="N18" s="28">
        <f t="shared" ca="1" si="3"/>
        <v>0</v>
      </c>
      <c r="O18" s="33">
        <v>17200</v>
      </c>
      <c r="P18" s="35">
        <f t="shared" ca="1" si="9"/>
        <v>0</v>
      </c>
      <c r="Q18" s="35">
        <f t="shared" ca="1" si="10"/>
        <v>0</v>
      </c>
      <c r="R18" s="45">
        <f t="shared" ca="1" si="11"/>
        <v>0</v>
      </c>
      <c r="S18" s="86">
        <v>8032</v>
      </c>
      <c r="T18" s="86">
        <f t="shared" ca="1" si="4"/>
        <v>0</v>
      </c>
      <c r="U18" s="81">
        <f t="shared" ca="1" si="12"/>
        <v>0</v>
      </c>
      <c r="V18" s="86"/>
      <c r="W18" s="86">
        <f t="shared" ca="1" si="13"/>
        <v>2</v>
      </c>
      <c r="X18" s="80">
        <f t="shared" ca="1" si="14"/>
        <v>0</v>
      </c>
      <c r="Y18" s="62">
        <f t="shared" ca="1" si="15"/>
        <v>2</v>
      </c>
      <c r="Z18" s="35">
        <f t="shared" ca="1" si="16"/>
        <v>0.33333333333333331</v>
      </c>
      <c r="AA18" s="38">
        <f t="shared" ca="1" si="17"/>
        <v>137600</v>
      </c>
      <c r="AB18" s="38">
        <f t="shared" ca="1" si="18"/>
        <v>8600</v>
      </c>
      <c r="AC18" s="38">
        <f t="shared" ca="1" si="19"/>
        <v>0</v>
      </c>
      <c r="AD18" s="48">
        <f t="shared" ca="1" si="20"/>
        <v>146200</v>
      </c>
      <c r="AE18" s="28" t="str">
        <f t="shared" ca="1" si="21"/>
        <v>振込</v>
      </c>
    </row>
    <row r="19" spans="1:31">
      <c r="A19" s="28" t="s">
        <v>36</v>
      </c>
      <c r="B19" s="29" t="s">
        <v>236</v>
      </c>
      <c r="C19" s="29" t="s">
        <v>237</v>
      </c>
      <c r="D19" s="26" t="s">
        <v>136</v>
      </c>
      <c r="E19" s="28">
        <f t="shared" ca="1" si="0"/>
        <v>1</v>
      </c>
      <c r="F19" s="33">
        <v>17200</v>
      </c>
      <c r="G19" s="35">
        <f t="shared" ca="1" si="1"/>
        <v>0.16666666666666674</v>
      </c>
      <c r="H19" s="35">
        <f t="shared" ca="1" si="5"/>
        <v>0.16666666666666666</v>
      </c>
      <c r="I19" s="44">
        <f t="shared" ca="1" si="6"/>
        <v>68800</v>
      </c>
      <c r="J19" s="33">
        <v>4300</v>
      </c>
      <c r="K19" s="35">
        <f t="shared" ca="1" si="2"/>
        <v>4.1666666666666741E-2</v>
      </c>
      <c r="L19" s="35">
        <f t="shared" ca="1" si="7"/>
        <v>4.1666666666666664E-2</v>
      </c>
      <c r="M19" s="44">
        <f t="shared" ca="1" si="8"/>
        <v>4300</v>
      </c>
      <c r="N19" s="28">
        <f t="shared" ca="1" si="3"/>
        <v>0</v>
      </c>
      <c r="O19" s="33">
        <v>17200</v>
      </c>
      <c r="P19" s="35">
        <f t="shared" ca="1" si="9"/>
        <v>0</v>
      </c>
      <c r="Q19" s="35">
        <f t="shared" ca="1" si="10"/>
        <v>0</v>
      </c>
      <c r="R19" s="45">
        <f t="shared" ca="1" si="11"/>
        <v>0</v>
      </c>
      <c r="S19" s="86">
        <v>8032</v>
      </c>
      <c r="T19" s="86">
        <f t="shared" ca="1" si="4"/>
        <v>0</v>
      </c>
      <c r="U19" s="81">
        <f t="shared" ca="1" si="12"/>
        <v>0</v>
      </c>
      <c r="V19" s="86"/>
      <c r="W19" s="86">
        <f t="shared" ca="1" si="13"/>
        <v>1</v>
      </c>
      <c r="X19" s="80">
        <f t="shared" ca="1" si="14"/>
        <v>0</v>
      </c>
      <c r="Y19" s="62">
        <f t="shared" ca="1" si="15"/>
        <v>1</v>
      </c>
      <c r="Z19" s="35">
        <f t="shared" ca="1" si="16"/>
        <v>0.16666666666666666</v>
      </c>
      <c r="AA19" s="38">
        <f t="shared" ca="1" si="17"/>
        <v>68800</v>
      </c>
      <c r="AB19" s="38">
        <f t="shared" ca="1" si="18"/>
        <v>4300</v>
      </c>
      <c r="AC19" s="38">
        <f t="shared" ca="1" si="19"/>
        <v>0</v>
      </c>
      <c r="AD19" s="48">
        <f t="shared" ca="1" si="20"/>
        <v>73100</v>
      </c>
      <c r="AE19" s="28" t="str">
        <f t="shared" ca="1" si="21"/>
        <v>振込</v>
      </c>
    </row>
    <row r="20" spans="1:31">
      <c r="A20" s="28" t="s">
        <v>36</v>
      </c>
      <c r="B20" s="29" t="s">
        <v>238</v>
      </c>
      <c r="C20" s="29" t="s">
        <v>239</v>
      </c>
      <c r="D20" s="26" t="s">
        <v>137</v>
      </c>
      <c r="E20" s="28">
        <f t="shared" ca="1" si="0"/>
        <v>0</v>
      </c>
      <c r="F20" s="33">
        <v>17200</v>
      </c>
      <c r="G20" s="35">
        <f t="shared" ca="1" si="1"/>
        <v>0</v>
      </c>
      <c r="H20" s="35">
        <f t="shared" ca="1" si="5"/>
        <v>0</v>
      </c>
      <c r="I20" s="44">
        <f t="shared" ca="1" si="6"/>
        <v>0</v>
      </c>
      <c r="J20" s="33">
        <v>4300</v>
      </c>
      <c r="K20" s="35">
        <f t="shared" ca="1" si="2"/>
        <v>0</v>
      </c>
      <c r="L20" s="35">
        <f t="shared" ca="1" si="7"/>
        <v>0</v>
      </c>
      <c r="M20" s="44">
        <f t="shared" ca="1" si="8"/>
        <v>0</v>
      </c>
      <c r="N20" s="28">
        <f t="shared" ca="1" si="3"/>
        <v>0</v>
      </c>
      <c r="O20" s="33">
        <v>17200</v>
      </c>
      <c r="P20" s="35">
        <f t="shared" ca="1" si="9"/>
        <v>0</v>
      </c>
      <c r="Q20" s="35">
        <f t="shared" ca="1" si="10"/>
        <v>0</v>
      </c>
      <c r="R20" s="45">
        <f t="shared" ca="1" si="11"/>
        <v>0</v>
      </c>
      <c r="S20" s="86">
        <v>8032</v>
      </c>
      <c r="T20" s="86">
        <f t="shared" ca="1" si="4"/>
        <v>0</v>
      </c>
      <c r="U20" s="81">
        <f t="shared" ca="1" si="12"/>
        <v>0</v>
      </c>
      <c r="V20" s="86"/>
      <c r="W20" s="86">
        <f t="shared" ca="1" si="13"/>
        <v>0</v>
      </c>
      <c r="X20" s="80">
        <f t="shared" ca="1" si="14"/>
        <v>0</v>
      </c>
      <c r="Y20" s="62">
        <f t="shared" ca="1" si="15"/>
        <v>0</v>
      </c>
      <c r="Z20" s="35">
        <f t="shared" ca="1" si="16"/>
        <v>0</v>
      </c>
      <c r="AA20" s="38">
        <f t="shared" ca="1" si="17"/>
        <v>0</v>
      </c>
      <c r="AB20" s="38">
        <f t="shared" ca="1" si="18"/>
        <v>0</v>
      </c>
      <c r="AC20" s="38">
        <f t="shared" ca="1" si="19"/>
        <v>0</v>
      </c>
      <c r="AD20" s="48">
        <f t="shared" ca="1" si="20"/>
        <v>0</v>
      </c>
      <c r="AE20" s="28" t="str">
        <f t="shared" ca="1" si="21"/>
        <v/>
      </c>
    </row>
    <row r="21" spans="1:31">
      <c r="A21" s="28" t="s">
        <v>36</v>
      </c>
      <c r="B21" s="29" t="s">
        <v>240</v>
      </c>
      <c r="C21" s="29" t="s">
        <v>241</v>
      </c>
      <c r="D21" s="26" t="s">
        <v>138</v>
      </c>
      <c r="E21" s="28">
        <f t="shared" ca="1" si="0"/>
        <v>0</v>
      </c>
      <c r="F21" s="33">
        <v>17200</v>
      </c>
      <c r="G21" s="35">
        <f t="shared" ca="1" si="1"/>
        <v>0</v>
      </c>
      <c r="H21" s="35">
        <f t="shared" ca="1" si="5"/>
        <v>0</v>
      </c>
      <c r="I21" s="44">
        <f t="shared" ca="1" si="6"/>
        <v>0</v>
      </c>
      <c r="J21" s="33">
        <v>4300</v>
      </c>
      <c r="K21" s="35">
        <f t="shared" ca="1" si="2"/>
        <v>0</v>
      </c>
      <c r="L21" s="35">
        <f t="shared" ca="1" si="7"/>
        <v>0</v>
      </c>
      <c r="M21" s="44">
        <f t="shared" ca="1" si="8"/>
        <v>0</v>
      </c>
      <c r="N21" s="28">
        <f t="shared" ca="1" si="3"/>
        <v>1</v>
      </c>
      <c r="O21" s="33">
        <v>17200</v>
      </c>
      <c r="P21" s="35">
        <f t="shared" ca="1" si="9"/>
        <v>0.29166666666666669</v>
      </c>
      <c r="Q21" s="35">
        <f t="shared" ca="1" si="10"/>
        <v>0.29166666666666663</v>
      </c>
      <c r="R21" s="45">
        <f t="shared" ca="1" si="11"/>
        <v>120399.99999999999</v>
      </c>
      <c r="S21" s="86">
        <v>8032</v>
      </c>
      <c r="T21" s="86">
        <f t="shared" ca="1" si="4"/>
        <v>0</v>
      </c>
      <c r="U21" s="81">
        <f t="shared" ca="1" si="12"/>
        <v>0</v>
      </c>
      <c r="V21" s="86"/>
      <c r="W21" s="86">
        <f t="shared" ca="1" si="13"/>
        <v>1</v>
      </c>
      <c r="X21" s="80">
        <f t="shared" ca="1" si="14"/>
        <v>0</v>
      </c>
      <c r="Y21" s="62">
        <f t="shared" ca="1" si="15"/>
        <v>1</v>
      </c>
      <c r="Z21" s="35">
        <f t="shared" ca="1" si="16"/>
        <v>0.29166666666666663</v>
      </c>
      <c r="AA21" s="38">
        <f t="shared" ca="1" si="17"/>
        <v>120399.99999999999</v>
      </c>
      <c r="AB21" s="38">
        <f t="shared" ca="1" si="18"/>
        <v>0</v>
      </c>
      <c r="AC21" s="38">
        <f t="shared" ca="1" si="19"/>
        <v>0</v>
      </c>
      <c r="AD21" s="48">
        <f t="shared" ca="1" si="20"/>
        <v>120399.99999999999</v>
      </c>
      <c r="AE21" s="28" t="str">
        <f t="shared" ca="1" si="21"/>
        <v>振込</v>
      </c>
    </row>
    <row r="22" spans="1:31">
      <c r="A22" s="28" t="s">
        <v>36</v>
      </c>
      <c r="B22" s="29" t="s">
        <v>242</v>
      </c>
      <c r="C22" s="29" t="s">
        <v>243</v>
      </c>
      <c r="D22" s="26" t="s">
        <v>139</v>
      </c>
      <c r="E22" s="28">
        <f t="shared" ca="1" si="0"/>
        <v>0</v>
      </c>
      <c r="F22" s="33">
        <v>17200</v>
      </c>
      <c r="G22" s="35">
        <f t="shared" ca="1" si="1"/>
        <v>0</v>
      </c>
      <c r="H22" s="35">
        <f t="shared" ca="1" si="5"/>
        <v>0</v>
      </c>
      <c r="I22" s="44">
        <f t="shared" ca="1" si="6"/>
        <v>0</v>
      </c>
      <c r="J22" s="33">
        <v>4300</v>
      </c>
      <c r="K22" s="35">
        <f t="shared" ca="1" si="2"/>
        <v>0</v>
      </c>
      <c r="L22" s="35">
        <f t="shared" ca="1" si="7"/>
        <v>0</v>
      </c>
      <c r="M22" s="44">
        <f t="shared" ca="1" si="8"/>
        <v>0</v>
      </c>
      <c r="N22" s="28">
        <f t="shared" ca="1" si="3"/>
        <v>0</v>
      </c>
      <c r="O22" s="33">
        <v>17200</v>
      </c>
      <c r="P22" s="35">
        <f t="shared" ca="1" si="9"/>
        <v>0</v>
      </c>
      <c r="Q22" s="35">
        <f t="shared" ca="1" si="10"/>
        <v>0</v>
      </c>
      <c r="R22" s="45">
        <f t="shared" ca="1" si="11"/>
        <v>0</v>
      </c>
      <c r="S22" s="86">
        <v>8032</v>
      </c>
      <c r="T22" s="86">
        <f t="shared" ca="1" si="4"/>
        <v>0</v>
      </c>
      <c r="U22" s="81">
        <f t="shared" ca="1" si="12"/>
        <v>0</v>
      </c>
      <c r="V22" s="86"/>
      <c r="W22" s="86">
        <f t="shared" ca="1" si="13"/>
        <v>0</v>
      </c>
      <c r="X22" s="80">
        <f t="shared" ca="1" si="14"/>
        <v>0</v>
      </c>
      <c r="Y22" s="62">
        <f t="shared" ca="1" si="15"/>
        <v>0</v>
      </c>
      <c r="Z22" s="35">
        <f t="shared" ca="1" si="16"/>
        <v>0</v>
      </c>
      <c r="AA22" s="38">
        <f t="shared" ca="1" si="17"/>
        <v>0</v>
      </c>
      <c r="AB22" s="38">
        <f t="shared" ca="1" si="18"/>
        <v>0</v>
      </c>
      <c r="AC22" s="38">
        <f t="shared" ca="1" si="19"/>
        <v>0</v>
      </c>
      <c r="AD22" s="48">
        <f t="shared" ca="1" si="20"/>
        <v>0</v>
      </c>
      <c r="AE22" s="28" t="str">
        <f t="shared" ca="1" si="21"/>
        <v/>
      </c>
    </row>
    <row r="23" spans="1:31">
      <c r="A23" s="28" t="s">
        <v>36</v>
      </c>
      <c r="B23" s="29" t="s">
        <v>244</v>
      </c>
      <c r="C23" s="29" t="s">
        <v>245</v>
      </c>
      <c r="D23" s="26" t="s">
        <v>140</v>
      </c>
      <c r="E23" s="28">
        <f t="shared" ca="1" si="0"/>
        <v>0</v>
      </c>
      <c r="F23" s="33">
        <v>17200</v>
      </c>
      <c r="G23" s="35">
        <f t="shared" ca="1" si="1"/>
        <v>0</v>
      </c>
      <c r="H23" s="35">
        <f t="shared" ca="1" si="5"/>
        <v>0</v>
      </c>
      <c r="I23" s="44">
        <f t="shared" ca="1" si="6"/>
        <v>0</v>
      </c>
      <c r="J23" s="33">
        <v>4300</v>
      </c>
      <c r="K23" s="35">
        <f t="shared" ca="1" si="2"/>
        <v>0</v>
      </c>
      <c r="L23" s="35">
        <f t="shared" ca="1" si="7"/>
        <v>0</v>
      </c>
      <c r="M23" s="44">
        <f t="shared" ca="1" si="8"/>
        <v>0</v>
      </c>
      <c r="N23" s="28">
        <f t="shared" ca="1" si="3"/>
        <v>0</v>
      </c>
      <c r="O23" s="33">
        <v>17200</v>
      </c>
      <c r="P23" s="35">
        <f t="shared" ca="1" si="9"/>
        <v>0</v>
      </c>
      <c r="Q23" s="35">
        <f t="shared" ca="1" si="10"/>
        <v>0</v>
      </c>
      <c r="R23" s="45">
        <f t="shared" ca="1" si="11"/>
        <v>0</v>
      </c>
      <c r="S23" s="86">
        <v>8032</v>
      </c>
      <c r="T23" s="86">
        <f t="shared" ca="1" si="4"/>
        <v>0</v>
      </c>
      <c r="U23" s="81">
        <f t="shared" ca="1" si="12"/>
        <v>0</v>
      </c>
      <c r="V23" s="86"/>
      <c r="W23" s="86">
        <f t="shared" ca="1" si="13"/>
        <v>0</v>
      </c>
      <c r="X23" s="80">
        <f t="shared" ca="1" si="14"/>
        <v>0</v>
      </c>
      <c r="Y23" s="62">
        <f t="shared" ca="1" si="15"/>
        <v>0</v>
      </c>
      <c r="Z23" s="35">
        <f t="shared" ca="1" si="16"/>
        <v>0</v>
      </c>
      <c r="AA23" s="38">
        <f t="shared" ca="1" si="17"/>
        <v>0</v>
      </c>
      <c r="AB23" s="38">
        <f t="shared" ca="1" si="18"/>
        <v>0</v>
      </c>
      <c r="AC23" s="38">
        <f t="shared" ca="1" si="19"/>
        <v>0</v>
      </c>
      <c r="AD23" s="48">
        <f t="shared" ca="1" si="20"/>
        <v>0</v>
      </c>
      <c r="AE23" s="28" t="str">
        <f t="shared" ca="1" si="21"/>
        <v/>
      </c>
    </row>
    <row r="24" spans="1:31">
      <c r="A24" s="28" t="s">
        <v>36</v>
      </c>
      <c r="B24" s="29" t="s">
        <v>246</v>
      </c>
      <c r="C24" s="29" t="s">
        <v>247</v>
      </c>
      <c r="D24" s="26" t="s">
        <v>141</v>
      </c>
      <c r="E24" s="28">
        <f t="shared" ca="1" si="0"/>
        <v>6</v>
      </c>
      <c r="F24" s="33">
        <v>17200</v>
      </c>
      <c r="G24" s="35">
        <f t="shared" ca="1" si="1"/>
        <v>1.0000000000000004</v>
      </c>
      <c r="H24" s="35">
        <f t="shared" ca="1" si="5"/>
        <v>1</v>
      </c>
      <c r="I24" s="44">
        <f t="shared" ca="1" si="6"/>
        <v>412800</v>
      </c>
      <c r="J24" s="33">
        <v>4300</v>
      </c>
      <c r="K24" s="35">
        <f t="shared" ca="1" si="2"/>
        <v>0.25000000000000044</v>
      </c>
      <c r="L24" s="35">
        <f t="shared" ca="1" si="7"/>
        <v>0.25</v>
      </c>
      <c r="M24" s="44">
        <f t="shared" ca="1" si="8"/>
        <v>25800</v>
      </c>
      <c r="N24" s="28">
        <f t="shared" ca="1" si="3"/>
        <v>1</v>
      </c>
      <c r="O24" s="33">
        <v>17200</v>
      </c>
      <c r="P24" s="35">
        <f t="shared" ca="1" si="9"/>
        <v>0.29166666666666669</v>
      </c>
      <c r="Q24" s="35">
        <f t="shared" ca="1" si="10"/>
        <v>0.29166666666666663</v>
      </c>
      <c r="R24" s="45">
        <f t="shared" ca="1" si="11"/>
        <v>120399.99999999999</v>
      </c>
      <c r="S24" s="86">
        <v>8032</v>
      </c>
      <c r="T24" s="86">
        <f t="shared" ca="1" si="4"/>
        <v>0</v>
      </c>
      <c r="U24" s="81">
        <f t="shared" ca="1" si="12"/>
        <v>0</v>
      </c>
      <c r="V24" s="86"/>
      <c r="W24" s="86">
        <f t="shared" ca="1" si="13"/>
        <v>7</v>
      </c>
      <c r="X24" s="80">
        <f t="shared" ca="1" si="14"/>
        <v>0</v>
      </c>
      <c r="Y24" s="62">
        <f t="shared" ca="1" si="15"/>
        <v>7</v>
      </c>
      <c r="Z24" s="35">
        <f t="shared" ca="1" si="16"/>
        <v>1.2916666666666665</v>
      </c>
      <c r="AA24" s="38">
        <f t="shared" ca="1" si="17"/>
        <v>533200</v>
      </c>
      <c r="AB24" s="38">
        <f t="shared" ca="1" si="18"/>
        <v>25800</v>
      </c>
      <c r="AC24" s="38">
        <f t="shared" ca="1" si="19"/>
        <v>0</v>
      </c>
      <c r="AD24" s="48">
        <f t="shared" ca="1" si="20"/>
        <v>559000</v>
      </c>
      <c r="AE24" s="28" t="str">
        <f t="shared" ca="1" si="21"/>
        <v>振込</v>
      </c>
    </row>
    <row r="25" spans="1:31">
      <c r="A25" s="28" t="s">
        <v>36</v>
      </c>
      <c r="B25" s="29" t="s">
        <v>248</v>
      </c>
      <c r="C25" s="29" t="s">
        <v>249</v>
      </c>
      <c r="D25" s="26" t="s">
        <v>142</v>
      </c>
      <c r="E25" s="28">
        <f t="shared" ca="1" si="0"/>
        <v>3</v>
      </c>
      <c r="F25" s="33">
        <v>17200</v>
      </c>
      <c r="G25" s="35">
        <f t="shared" ca="1" si="1"/>
        <v>0.50000000000000022</v>
      </c>
      <c r="H25" s="35">
        <f t="shared" ca="1" si="5"/>
        <v>0.5</v>
      </c>
      <c r="I25" s="44">
        <f t="shared" ca="1" si="6"/>
        <v>206400</v>
      </c>
      <c r="J25" s="33">
        <v>4300</v>
      </c>
      <c r="K25" s="35">
        <f t="shared" ca="1" si="2"/>
        <v>0.12500000000000022</v>
      </c>
      <c r="L25" s="35">
        <f t="shared" ca="1" si="7"/>
        <v>0.125</v>
      </c>
      <c r="M25" s="44">
        <f t="shared" ca="1" si="8"/>
        <v>12900</v>
      </c>
      <c r="N25" s="28">
        <f t="shared" ca="1" si="3"/>
        <v>1</v>
      </c>
      <c r="O25" s="33">
        <v>17200</v>
      </c>
      <c r="P25" s="35">
        <f t="shared" ca="1" si="9"/>
        <v>0.29166666666666669</v>
      </c>
      <c r="Q25" s="35">
        <f t="shared" ca="1" si="10"/>
        <v>0.29166666666666663</v>
      </c>
      <c r="R25" s="45">
        <f t="shared" ca="1" si="11"/>
        <v>120399.99999999999</v>
      </c>
      <c r="S25" s="86">
        <v>8032</v>
      </c>
      <c r="T25" s="86">
        <f t="shared" ca="1" si="4"/>
        <v>0</v>
      </c>
      <c r="U25" s="81">
        <f t="shared" ca="1" si="12"/>
        <v>0</v>
      </c>
      <c r="V25" s="86"/>
      <c r="W25" s="86">
        <f t="shared" ca="1" si="13"/>
        <v>4</v>
      </c>
      <c r="X25" s="80">
        <f t="shared" ca="1" si="14"/>
        <v>0</v>
      </c>
      <c r="Y25" s="62">
        <f t="shared" ca="1" si="15"/>
        <v>4</v>
      </c>
      <c r="Z25" s="35">
        <f t="shared" ca="1" si="16"/>
        <v>0.79166666666666663</v>
      </c>
      <c r="AA25" s="38">
        <f t="shared" ca="1" si="17"/>
        <v>326800</v>
      </c>
      <c r="AB25" s="38">
        <f t="shared" ca="1" si="18"/>
        <v>12900</v>
      </c>
      <c r="AC25" s="38">
        <f t="shared" ca="1" si="19"/>
        <v>0</v>
      </c>
      <c r="AD25" s="48">
        <f t="shared" ca="1" si="20"/>
        <v>339700</v>
      </c>
      <c r="AE25" s="28" t="str">
        <f t="shared" ca="1" si="21"/>
        <v>振込</v>
      </c>
    </row>
    <row r="26" spans="1:31">
      <c r="A26" s="28" t="s">
        <v>36</v>
      </c>
      <c r="B26" s="29" t="s">
        <v>250</v>
      </c>
      <c r="C26" s="29" t="s">
        <v>251</v>
      </c>
      <c r="D26" s="26" t="s">
        <v>143</v>
      </c>
      <c r="E26" s="28">
        <f t="shared" ca="1" si="0"/>
        <v>0</v>
      </c>
      <c r="F26" s="33">
        <v>17200</v>
      </c>
      <c r="G26" s="35">
        <f t="shared" ca="1" si="1"/>
        <v>0</v>
      </c>
      <c r="H26" s="35">
        <f t="shared" ca="1" si="5"/>
        <v>0</v>
      </c>
      <c r="I26" s="44">
        <f t="shared" ca="1" si="6"/>
        <v>0</v>
      </c>
      <c r="J26" s="33">
        <v>4300</v>
      </c>
      <c r="K26" s="35">
        <f t="shared" ca="1" si="2"/>
        <v>0</v>
      </c>
      <c r="L26" s="35">
        <f t="shared" ca="1" si="7"/>
        <v>0</v>
      </c>
      <c r="M26" s="44">
        <f t="shared" ca="1" si="8"/>
        <v>0</v>
      </c>
      <c r="N26" s="28">
        <f t="shared" ca="1" si="3"/>
        <v>0</v>
      </c>
      <c r="O26" s="33">
        <v>17200</v>
      </c>
      <c r="P26" s="35">
        <f t="shared" ca="1" si="9"/>
        <v>0</v>
      </c>
      <c r="Q26" s="35">
        <f t="shared" ca="1" si="10"/>
        <v>0</v>
      </c>
      <c r="R26" s="45">
        <f t="shared" ca="1" si="11"/>
        <v>0</v>
      </c>
      <c r="S26" s="86">
        <v>8032</v>
      </c>
      <c r="T26" s="86">
        <f t="shared" ca="1" si="4"/>
        <v>0</v>
      </c>
      <c r="U26" s="81">
        <f t="shared" ca="1" si="12"/>
        <v>0</v>
      </c>
      <c r="V26" s="86"/>
      <c r="W26" s="86">
        <f t="shared" ca="1" si="13"/>
        <v>0</v>
      </c>
      <c r="X26" s="80">
        <f t="shared" ca="1" si="14"/>
        <v>0</v>
      </c>
      <c r="Y26" s="62">
        <f t="shared" ca="1" si="15"/>
        <v>0</v>
      </c>
      <c r="Z26" s="35">
        <f t="shared" ca="1" si="16"/>
        <v>0</v>
      </c>
      <c r="AA26" s="38">
        <f t="shared" ca="1" si="17"/>
        <v>0</v>
      </c>
      <c r="AB26" s="38">
        <f t="shared" ca="1" si="18"/>
        <v>0</v>
      </c>
      <c r="AC26" s="38">
        <f t="shared" ca="1" si="19"/>
        <v>0</v>
      </c>
      <c r="AD26" s="48">
        <f t="shared" ca="1" si="20"/>
        <v>0</v>
      </c>
      <c r="AE26" s="28" t="str">
        <f t="shared" ca="1" si="21"/>
        <v/>
      </c>
    </row>
    <row r="27" spans="1:31">
      <c r="A27" s="28" t="s">
        <v>36</v>
      </c>
      <c r="B27" s="29" t="s">
        <v>252</v>
      </c>
      <c r="C27" s="29" t="s">
        <v>253</v>
      </c>
      <c r="D27" s="26" t="s">
        <v>144</v>
      </c>
      <c r="E27" s="28">
        <f t="shared" ca="1" si="0"/>
        <v>0</v>
      </c>
      <c r="F27" s="33">
        <v>17200</v>
      </c>
      <c r="G27" s="35">
        <f t="shared" ca="1" si="1"/>
        <v>0</v>
      </c>
      <c r="H27" s="35">
        <f t="shared" ca="1" si="5"/>
        <v>0</v>
      </c>
      <c r="I27" s="44">
        <f t="shared" ca="1" si="6"/>
        <v>0</v>
      </c>
      <c r="J27" s="33">
        <v>4300</v>
      </c>
      <c r="K27" s="35">
        <f t="shared" ca="1" si="2"/>
        <v>0</v>
      </c>
      <c r="L27" s="35">
        <f t="shared" ca="1" si="7"/>
        <v>0</v>
      </c>
      <c r="M27" s="44">
        <f t="shared" ca="1" si="8"/>
        <v>0</v>
      </c>
      <c r="N27" s="28">
        <f t="shared" ca="1" si="3"/>
        <v>0</v>
      </c>
      <c r="O27" s="33">
        <v>17200</v>
      </c>
      <c r="P27" s="35">
        <f t="shared" ca="1" si="9"/>
        <v>0</v>
      </c>
      <c r="Q27" s="35">
        <f t="shared" ca="1" si="10"/>
        <v>0</v>
      </c>
      <c r="R27" s="45">
        <f t="shared" ca="1" si="11"/>
        <v>0</v>
      </c>
      <c r="S27" s="86">
        <v>8032</v>
      </c>
      <c r="T27" s="86">
        <f t="shared" ca="1" si="4"/>
        <v>0</v>
      </c>
      <c r="U27" s="81">
        <f t="shared" ca="1" si="12"/>
        <v>0</v>
      </c>
      <c r="V27" s="86"/>
      <c r="W27" s="86">
        <f t="shared" ca="1" si="13"/>
        <v>0</v>
      </c>
      <c r="X27" s="80">
        <f t="shared" ca="1" si="14"/>
        <v>0</v>
      </c>
      <c r="Y27" s="62">
        <f t="shared" ca="1" si="15"/>
        <v>0</v>
      </c>
      <c r="Z27" s="35">
        <f t="shared" ca="1" si="16"/>
        <v>0</v>
      </c>
      <c r="AA27" s="38">
        <f t="shared" ca="1" si="17"/>
        <v>0</v>
      </c>
      <c r="AB27" s="38">
        <f t="shared" ca="1" si="18"/>
        <v>0</v>
      </c>
      <c r="AC27" s="38">
        <f t="shared" ca="1" si="19"/>
        <v>0</v>
      </c>
      <c r="AD27" s="48">
        <f t="shared" ca="1" si="20"/>
        <v>0</v>
      </c>
      <c r="AE27" s="28" t="str">
        <f t="shared" ca="1" si="21"/>
        <v/>
      </c>
    </row>
    <row r="28" spans="1:31">
      <c r="A28" s="28" t="s">
        <v>36</v>
      </c>
      <c r="B28" s="29" t="s">
        <v>254</v>
      </c>
      <c r="C28" s="29" t="s">
        <v>255</v>
      </c>
      <c r="D28" s="26" t="s">
        <v>145</v>
      </c>
      <c r="E28" s="28">
        <f t="shared" ca="1" si="0"/>
        <v>0</v>
      </c>
      <c r="F28" s="33">
        <v>17200</v>
      </c>
      <c r="G28" s="35">
        <f t="shared" ca="1" si="1"/>
        <v>0</v>
      </c>
      <c r="H28" s="35">
        <f t="shared" ca="1" si="5"/>
        <v>0</v>
      </c>
      <c r="I28" s="44">
        <f t="shared" ca="1" si="6"/>
        <v>0</v>
      </c>
      <c r="J28" s="33">
        <v>4300</v>
      </c>
      <c r="K28" s="35">
        <f t="shared" ca="1" si="2"/>
        <v>0</v>
      </c>
      <c r="L28" s="35">
        <f t="shared" ca="1" si="7"/>
        <v>0</v>
      </c>
      <c r="M28" s="44">
        <f t="shared" ca="1" si="8"/>
        <v>0</v>
      </c>
      <c r="N28" s="28">
        <f t="shared" ca="1" si="3"/>
        <v>0</v>
      </c>
      <c r="O28" s="33">
        <v>17200</v>
      </c>
      <c r="P28" s="35">
        <f t="shared" ca="1" si="9"/>
        <v>0</v>
      </c>
      <c r="Q28" s="35">
        <f t="shared" ca="1" si="10"/>
        <v>0</v>
      </c>
      <c r="R28" s="45">
        <f t="shared" ca="1" si="11"/>
        <v>0</v>
      </c>
      <c r="S28" s="86">
        <v>8032</v>
      </c>
      <c r="T28" s="86">
        <f t="shared" ca="1" si="4"/>
        <v>0</v>
      </c>
      <c r="U28" s="81">
        <f t="shared" ca="1" si="12"/>
        <v>0</v>
      </c>
      <c r="V28" s="86"/>
      <c r="W28" s="86">
        <f t="shared" ca="1" si="13"/>
        <v>0</v>
      </c>
      <c r="X28" s="80">
        <f t="shared" ca="1" si="14"/>
        <v>0</v>
      </c>
      <c r="Y28" s="62">
        <f t="shared" ca="1" si="15"/>
        <v>0</v>
      </c>
      <c r="Z28" s="35">
        <f t="shared" ca="1" si="16"/>
        <v>0</v>
      </c>
      <c r="AA28" s="38">
        <f t="shared" ca="1" si="17"/>
        <v>0</v>
      </c>
      <c r="AB28" s="38">
        <f t="shared" ca="1" si="18"/>
        <v>0</v>
      </c>
      <c r="AC28" s="38">
        <f t="shared" ca="1" si="19"/>
        <v>0</v>
      </c>
      <c r="AD28" s="48">
        <f t="shared" ca="1" si="20"/>
        <v>0</v>
      </c>
      <c r="AE28" s="28" t="str">
        <f t="shared" ca="1" si="21"/>
        <v/>
      </c>
    </row>
    <row r="29" spans="1:31">
      <c r="A29" s="28" t="s">
        <v>36</v>
      </c>
      <c r="B29" s="29" t="s">
        <v>256</v>
      </c>
      <c r="C29" s="29" t="s">
        <v>257</v>
      </c>
      <c r="D29" s="26" t="s">
        <v>146</v>
      </c>
      <c r="E29" s="28">
        <f t="shared" ca="1" si="0"/>
        <v>4</v>
      </c>
      <c r="F29" s="33">
        <v>17200</v>
      </c>
      <c r="G29" s="35">
        <f t="shared" ca="1" si="1"/>
        <v>0.66666666666666696</v>
      </c>
      <c r="H29" s="35">
        <f t="shared" ca="1" si="5"/>
        <v>0.66666666666666663</v>
      </c>
      <c r="I29" s="44">
        <f t="shared" ca="1" si="6"/>
        <v>275200</v>
      </c>
      <c r="J29" s="33">
        <v>4300</v>
      </c>
      <c r="K29" s="35">
        <f t="shared" ca="1" si="2"/>
        <v>0.16666666666666696</v>
      </c>
      <c r="L29" s="35">
        <f t="shared" ca="1" si="7"/>
        <v>0.16666666666666666</v>
      </c>
      <c r="M29" s="44">
        <f t="shared" ca="1" si="8"/>
        <v>17200</v>
      </c>
      <c r="N29" s="28">
        <f t="shared" ca="1" si="3"/>
        <v>0</v>
      </c>
      <c r="O29" s="33">
        <v>17200</v>
      </c>
      <c r="P29" s="35">
        <f t="shared" ca="1" si="9"/>
        <v>0</v>
      </c>
      <c r="Q29" s="35">
        <f t="shared" ca="1" si="10"/>
        <v>0</v>
      </c>
      <c r="R29" s="45">
        <f t="shared" ca="1" si="11"/>
        <v>0</v>
      </c>
      <c r="S29" s="86">
        <v>8032</v>
      </c>
      <c r="T29" s="86">
        <f t="shared" ca="1" si="4"/>
        <v>0</v>
      </c>
      <c r="U29" s="81">
        <f t="shared" ca="1" si="12"/>
        <v>0</v>
      </c>
      <c r="V29" s="86"/>
      <c r="W29" s="86">
        <f t="shared" ca="1" si="13"/>
        <v>4</v>
      </c>
      <c r="X29" s="80">
        <f t="shared" ca="1" si="14"/>
        <v>0</v>
      </c>
      <c r="Y29" s="62">
        <f t="shared" ca="1" si="15"/>
        <v>4</v>
      </c>
      <c r="Z29" s="35">
        <f t="shared" ca="1" si="16"/>
        <v>0.66666666666666663</v>
      </c>
      <c r="AA29" s="38">
        <f t="shared" ca="1" si="17"/>
        <v>275200</v>
      </c>
      <c r="AB29" s="38">
        <f t="shared" ca="1" si="18"/>
        <v>17200</v>
      </c>
      <c r="AC29" s="38">
        <f t="shared" ca="1" si="19"/>
        <v>0</v>
      </c>
      <c r="AD29" s="48">
        <f t="shared" ca="1" si="20"/>
        <v>292400</v>
      </c>
      <c r="AE29" s="28" t="str">
        <f t="shared" ca="1" si="21"/>
        <v>振込</v>
      </c>
    </row>
    <row r="30" spans="1:31">
      <c r="A30" s="28" t="s">
        <v>36</v>
      </c>
      <c r="B30" s="29" t="s">
        <v>258</v>
      </c>
      <c r="C30" s="29" t="s">
        <v>259</v>
      </c>
      <c r="D30" s="26" t="s">
        <v>147</v>
      </c>
      <c r="E30" s="28">
        <f t="shared" ca="1" si="0"/>
        <v>0</v>
      </c>
      <c r="F30" s="33">
        <v>17200</v>
      </c>
      <c r="G30" s="35">
        <f t="shared" ca="1" si="1"/>
        <v>0</v>
      </c>
      <c r="H30" s="35">
        <f t="shared" ca="1" si="5"/>
        <v>0</v>
      </c>
      <c r="I30" s="44">
        <f t="shared" ca="1" si="6"/>
        <v>0</v>
      </c>
      <c r="J30" s="33">
        <v>4300</v>
      </c>
      <c r="K30" s="35">
        <f t="shared" ca="1" si="2"/>
        <v>0</v>
      </c>
      <c r="L30" s="35">
        <f t="shared" ca="1" si="7"/>
        <v>0</v>
      </c>
      <c r="M30" s="44">
        <f t="shared" ca="1" si="8"/>
        <v>0</v>
      </c>
      <c r="N30" s="28">
        <f t="shared" ca="1" si="3"/>
        <v>1</v>
      </c>
      <c r="O30" s="33">
        <v>17200</v>
      </c>
      <c r="P30" s="35">
        <f t="shared" ca="1" si="9"/>
        <v>0.29166666666666669</v>
      </c>
      <c r="Q30" s="35">
        <f t="shared" ca="1" si="10"/>
        <v>0.29166666666666663</v>
      </c>
      <c r="R30" s="45">
        <f t="shared" ca="1" si="11"/>
        <v>120399.99999999999</v>
      </c>
      <c r="S30" s="86">
        <v>8032</v>
      </c>
      <c r="T30" s="86">
        <f t="shared" ca="1" si="4"/>
        <v>0</v>
      </c>
      <c r="U30" s="81">
        <f t="shared" ca="1" si="12"/>
        <v>0</v>
      </c>
      <c r="V30" s="86"/>
      <c r="W30" s="86">
        <f t="shared" ca="1" si="13"/>
        <v>1</v>
      </c>
      <c r="X30" s="80">
        <f t="shared" ca="1" si="14"/>
        <v>0</v>
      </c>
      <c r="Y30" s="62">
        <f t="shared" ca="1" si="15"/>
        <v>1</v>
      </c>
      <c r="Z30" s="35">
        <f t="shared" ca="1" si="16"/>
        <v>0.29166666666666663</v>
      </c>
      <c r="AA30" s="38">
        <f t="shared" ca="1" si="17"/>
        <v>120399.99999999999</v>
      </c>
      <c r="AB30" s="38">
        <f t="shared" ca="1" si="18"/>
        <v>0</v>
      </c>
      <c r="AC30" s="38">
        <f t="shared" ca="1" si="19"/>
        <v>0</v>
      </c>
      <c r="AD30" s="48">
        <f t="shared" ca="1" si="20"/>
        <v>120399.99999999999</v>
      </c>
      <c r="AE30" s="28" t="str">
        <f t="shared" ca="1" si="21"/>
        <v>振込</v>
      </c>
    </row>
    <row r="31" spans="1:31">
      <c r="A31" s="28" t="s">
        <v>36</v>
      </c>
      <c r="B31" s="29" t="s">
        <v>260</v>
      </c>
      <c r="C31" s="29" t="s">
        <v>261</v>
      </c>
      <c r="D31" s="26" t="s">
        <v>148</v>
      </c>
      <c r="E31" s="28">
        <f t="shared" ca="1" si="0"/>
        <v>1</v>
      </c>
      <c r="F31" s="33">
        <v>17200</v>
      </c>
      <c r="G31" s="35">
        <f t="shared" ca="1" si="1"/>
        <v>0.16666666666666674</v>
      </c>
      <c r="H31" s="35">
        <f t="shared" ca="1" si="5"/>
        <v>0.16666666666666666</v>
      </c>
      <c r="I31" s="44">
        <f t="shared" ca="1" si="6"/>
        <v>68800</v>
      </c>
      <c r="J31" s="33">
        <v>4300</v>
      </c>
      <c r="K31" s="35">
        <f t="shared" ca="1" si="2"/>
        <v>4.1666666666666741E-2</v>
      </c>
      <c r="L31" s="35">
        <f t="shared" ca="1" si="7"/>
        <v>4.1666666666666664E-2</v>
      </c>
      <c r="M31" s="44">
        <f t="shared" ca="1" si="8"/>
        <v>4300</v>
      </c>
      <c r="N31" s="28">
        <f t="shared" ca="1" si="3"/>
        <v>1</v>
      </c>
      <c r="O31" s="33">
        <v>17200</v>
      </c>
      <c r="P31" s="35">
        <f t="shared" ca="1" si="9"/>
        <v>0.29166666666666669</v>
      </c>
      <c r="Q31" s="35">
        <f t="shared" ca="1" si="10"/>
        <v>0.29166666666666663</v>
      </c>
      <c r="R31" s="45">
        <f t="shared" ca="1" si="11"/>
        <v>120399.99999999999</v>
      </c>
      <c r="S31" s="86">
        <v>8032</v>
      </c>
      <c r="T31" s="86">
        <f t="shared" ca="1" si="4"/>
        <v>0</v>
      </c>
      <c r="U31" s="81">
        <f t="shared" ca="1" si="12"/>
        <v>0</v>
      </c>
      <c r="V31" s="86"/>
      <c r="W31" s="86">
        <f t="shared" ca="1" si="13"/>
        <v>2</v>
      </c>
      <c r="X31" s="80">
        <f t="shared" ca="1" si="14"/>
        <v>0</v>
      </c>
      <c r="Y31" s="62">
        <f t="shared" ca="1" si="15"/>
        <v>2</v>
      </c>
      <c r="Z31" s="35">
        <f t="shared" ca="1" si="16"/>
        <v>0.45833333333333326</v>
      </c>
      <c r="AA31" s="38">
        <f t="shared" ca="1" si="17"/>
        <v>189200</v>
      </c>
      <c r="AB31" s="38">
        <f t="shared" ca="1" si="18"/>
        <v>4300</v>
      </c>
      <c r="AC31" s="38">
        <f t="shared" ca="1" si="19"/>
        <v>0</v>
      </c>
      <c r="AD31" s="48">
        <f t="shared" ca="1" si="20"/>
        <v>193500</v>
      </c>
      <c r="AE31" s="28" t="str">
        <f t="shared" ca="1" si="21"/>
        <v>振込</v>
      </c>
    </row>
    <row r="32" spans="1:31">
      <c r="A32" s="28" t="s">
        <v>36</v>
      </c>
      <c r="B32" s="29" t="s">
        <v>262</v>
      </c>
      <c r="C32" s="29" t="s">
        <v>263</v>
      </c>
      <c r="D32" s="26" t="s">
        <v>149</v>
      </c>
      <c r="E32" s="28">
        <f t="shared" ca="1" si="0"/>
        <v>0</v>
      </c>
      <c r="F32" s="33">
        <v>17200</v>
      </c>
      <c r="G32" s="35">
        <f t="shared" ca="1" si="1"/>
        <v>0</v>
      </c>
      <c r="H32" s="35">
        <f t="shared" ca="1" si="5"/>
        <v>0</v>
      </c>
      <c r="I32" s="44">
        <f t="shared" ca="1" si="6"/>
        <v>0</v>
      </c>
      <c r="J32" s="33">
        <v>4300</v>
      </c>
      <c r="K32" s="35">
        <f t="shared" ca="1" si="2"/>
        <v>0</v>
      </c>
      <c r="L32" s="35">
        <f t="shared" ca="1" si="7"/>
        <v>0</v>
      </c>
      <c r="M32" s="44">
        <f t="shared" ca="1" si="8"/>
        <v>0</v>
      </c>
      <c r="N32" s="28">
        <f t="shared" ca="1" si="3"/>
        <v>0</v>
      </c>
      <c r="O32" s="33">
        <v>17200</v>
      </c>
      <c r="P32" s="35">
        <f t="shared" ca="1" si="9"/>
        <v>0</v>
      </c>
      <c r="Q32" s="35">
        <f t="shared" ca="1" si="10"/>
        <v>0</v>
      </c>
      <c r="R32" s="45">
        <f t="shared" ca="1" si="11"/>
        <v>0</v>
      </c>
      <c r="S32" s="86">
        <v>8032</v>
      </c>
      <c r="T32" s="86">
        <f t="shared" ca="1" si="4"/>
        <v>0</v>
      </c>
      <c r="U32" s="81">
        <f t="shared" ca="1" si="12"/>
        <v>0</v>
      </c>
      <c r="V32" s="86"/>
      <c r="W32" s="86">
        <f t="shared" ca="1" si="13"/>
        <v>0</v>
      </c>
      <c r="X32" s="80">
        <f t="shared" ca="1" si="14"/>
        <v>0</v>
      </c>
      <c r="Y32" s="62">
        <f t="shared" ca="1" si="15"/>
        <v>0</v>
      </c>
      <c r="Z32" s="35">
        <f t="shared" ca="1" si="16"/>
        <v>0</v>
      </c>
      <c r="AA32" s="38">
        <f t="shared" ca="1" si="17"/>
        <v>0</v>
      </c>
      <c r="AB32" s="38">
        <f t="shared" ca="1" si="18"/>
        <v>0</v>
      </c>
      <c r="AC32" s="38">
        <f t="shared" ca="1" si="19"/>
        <v>0</v>
      </c>
      <c r="AD32" s="48">
        <f t="shared" ca="1" si="20"/>
        <v>0</v>
      </c>
      <c r="AE32" s="28" t="str">
        <f t="shared" ca="1" si="21"/>
        <v/>
      </c>
    </row>
    <row r="33" spans="1:31">
      <c r="A33" s="28" t="s">
        <v>36</v>
      </c>
      <c r="B33" s="29" t="s">
        <v>264</v>
      </c>
      <c r="C33" s="29" t="s">
        <v>265</v>
      </c>
      <c r="D33" s="26" t="s">
        <v>150</v>
      </c>
      <c r="E33" s="28">
        <f t="shared" ca="1" si="0"/>
        <v>3</v>
      </c>
      <c r="F33" s="33">
        <v>17200</v>
      </c>
      <c r="G33" s="35">
        <f t="shared" ca="1" si="1"/>
        <v>0.50000000000000022</v>
      </c>
      <c r="H33" s="35">
        <f t="shared" ca="1" si="5"/>
        <v>0.5</v>
      </c>
      <c r="I33" s="44">
        <f t="shared" ca="1" si="6"/>
        <v>206400</v>
      </c>
      <c r="J33" s="33">
        <v>4300</v>
      </c>
      <c r="K33" s="35">
        <f t="shared" ca="1" si="2"/>
        <v>0.12500000000000022</v>
      </c>
      <c r="L33" s="35">
        <f t="shared" ca="1" si="7"/>
        <v>0.125</v>
      </c>
      <c r="M33" s="44">
        <f t="shared" ca="1" si="8"/>
        <v>12900</v>
      </c>
      <c r="N33" s="28">
        <f t="shared" ca="1" si="3"/>
        <v>1</v>
      </c>
      <c r="O33" s="33">
        <v>17200</v>
      </c>
      <c r="P33" s="35">
        <f t="shared" ca="1" si="9"/>
        <v>0.29166666666666669</v>
      </c>
      <c r="Q33" s="35">
        <f t="shared" ca="1" si="10"/>
        <v>0.29166666666666663</v>
      </c>
      <c r="R33" s="45">
        <f t="shared" ca="1" si="11"/>
        <v>120399.99999999999</v>
      </c>
      <c r="S33" s="86">
        <v>8032</v>
      </c>
      <c r="T33" s="86">
        <f t="shared" ca="1" si="4"/>
        <v>0</v>
      </c>
      <c r="U33" s="81">
        <f t="shared" ca="1" si="12"/>
        <v>0</v>
      </c>
      <c r="V33" s="86"/>
      <c r="W33" s="86">
        <f t="shared" ca="1" si="13"/>
        <v>4</v>
      </c>
      <c r="X33" s="80">
        <f t="shared" ca="1" si="14"/>
        <v>0</v>
      </c>
      <c r="Y33" s="62">
        <f t="shared" ca="1" si="15"/>
        <v>4</v>
      </c>
      <c r="Z33" s="35">
        <f t="shared" ca="1" si="16"/>
        <v>0.79166666666666663</v>
      </c>
      <c r="AA33" s="38">
        <f t="shared" ca="1" si="17"/>
        <v>326800</v>
      </c>
      <c r="AB33" s="38">
        <f t="shared" ca="1" si="18"/>
        <v>12900</v>
      </c>
      <c r="AC33" s="38">
        <f t="shared" ca="1" si="19"/>
        <v>0</v>
      </c>
      <c r="AD33" s="48">
        <f t="shared" ca="1" si="20"/>
        <v>339700</v>
      </c>
      <c r="AE33" s="28" t="str">
        <f t="shared" ca="1" si="21"/>
        <v>振込</v>
      </c>
    </row>
    <row r="34" spans="1:31">
      <c r="A34" s="28" t="s">
        <v>36</v>
      </c>
      <c r="B34" s="29" t="s">
        <v>266</v>
      </c>
      <c r="C34" s="29" t="s">
        <v>267</v>
      </c>
      <c r="D34" s="26" t="s">
        <v>151</v>
      </c>
      <c r="E34" s="28">
        <f t="shared" ca="1" si="0"/>
        <v>1</v>
      </c>
      <c r="F34" s="33">
        <v>17200</v>
      </c>
      <c r="G34" s="35">
        <f t="shared" ca="1" si="1"/>
        <v>0.16666666666666674</v>
      </c>
      <c r="H34" s="35">
        <f t="shared" ca="1" si="5"/>
        <v>0.16666666666666666</v>
      </c>
      <c r="I34" s="44">
        <f t="shared" ca="1" si="6"/>
        <v>68800</v>
      </c>
      <c r="J34" s="33">
        <v>4300</v>
      </c>
      <c r="K34" s="35">
        <f t="shared" ca="1" si="2"/>
        <v>4.1666666666666741E-2</v>
      </c>
      <c r="L34" s="35">
        <f t="shared" ca="1" si="7"/>
        <v>4.1666666666666664E-2</v>
      </c>
      <c r="M34" s="44">
        <f t="shared" ca="1" si="8"/>
        <v>4300</v>
      </c>
      <c r="N34" s="28">
        <f t="shared" ca="1" si="3"/>
        <v>0</v>
      </c>
      <c r="O34" s="33">
        <v>17200</v>
      </c>
      <c r="P34" s="35">
        <f t="shared" ca="1" si="9"/>
        <v>0</v>
      </c>
      <c r="Q34" s="35">
        <f t="shared" ca="1" si="10"/>
        <v>0</v>
      </c>
      <c r="R34" s="45">
        <f t="shared" ca="1" si="11"/>
        <v>0</v>
      </c>
      <c r="S34" s="86">
        <v>8032</v>
      </c>
      <c r="T34" s="86">
        <f t="shared" ca="1" si="4"/>
        <v>0</v>
      </c>
      <c r="U34" s="81">
        <f t="shared" ca="1" si="12"/>
        <v>0</v>
      </c>
      <c r="V34" s="86"/>
      <c r="W34" s="86">
        <f t="shared" ca="1" si="13"/>
        <v>1</v>
      </c>
      <c r="X34" s="80">
        <f t="shared" ca="1" si="14"/>
        <v>0</v>
      </c>
      <c r="Y34" s="62">
        <f t="shared" ca="1" si="15"/>
        <v>1</v>
      </c>
      <c r="Z34" s="35">
        <f t="shared" ca="1" si="16"/>
        <v>0.16666666666666666</v>
      </c>
      <c r="AA34" s="38">
        <f t="shared" ca="1" si="17"/>
        <v>68800</v>
      </c>
      <c r="AB34" s="38">
        <f t="shared" ca="1" si="18"/>
        <v>4300</v>
      </c>
      <c r="AC34" s="38">
        <f t="shared" ca="1" si="19"/>
        <v>0</v>
      </c>
      <c r="AD34" s="48">
        <f t="shared" ca="1" si="20"/>
        <v>73100</v>
      </c>
      <c r="AE34" s="28" t="str">
        <f t="shared" ca="1" si="21"/>
        <v>振込</v>
      </c>
    </row>
    <row r="35" spans="1:31">
      <c r="A35" s="28" t="s">
        <v>36</v>
      </c>
      <c r="B35" s="29" t="s">
        <v>268</v>
      </c>
      <c r="C35" s="29" t="s">
        <v>269</v>
      </c>
      <c r="D35" s="26" t="s">
        <v>152</v>
      </c>
      <c r="E35" s="28">
        <f t="shared" ca="1" si="0"/>
        <v>0</v>
      </c>
      <c r="F35" s="33">
        <v>17200</v>
      </c>
      <c r="G35" s="35">
        <f t="shared" ca="1" si="1"/>
        <v>0</v>
      </c>
      <c r="H35" s="35">
        <f t="shared" ca="1" si="5"/>
        <v>0</v>
      </c>
      <c r="I35" s="44">
        <f t="shared" ca="1" si="6"/>
        <v>0</v>
      </c>
      <c r="J35" s="33">
        <v>4300</v>
      </c>
      <c r="K35" s="35">
        <f t="shared" ca="1" si="2"/>
        <v>0</v>
      </c>
      <c r="L35" s="35">
        <f t="shared" ca="1" si="7"/>
        <v>0</v>
      </c>
      <c r="M35" s="44">
        <f t="shared" ca="1" si="8"/>
        <v>0</v>
      </c>
      <c r="N35" s="28">
        <f t="shared" ca="1" si="3"/>
        <v>1</v>
      </c>
      <c r="O35" s="33">
        <v>17200</v>
      </c>
      <c r="P35" s="35">
        <f t="shared" ca="1" si="9"/>
        <v>0.29166666666666669</v>
      </c>
      <c r="Q35" s="35">
        <f t="shared" ca="1" si="10"/>
        <v>0.29166666666666663</v>
      </c>
      <c r="R35" s="45">
        <f t="shared" ca="1" si="11"/>
        <v>120399.99999999999</v>
      </c>
      <c r="S35" s="86">
        <v>8032</v>
      </c>
      <c r="T35" s="86">
        <f t="shared" ca="1" si="4"/>
        <v>0</v>
      </c>
      <c r="U35" s="81">
        <f t="shared" ca="1" si="12"/>
        <v>0</v>
      </c>
      <c r="V35" s="86"/>
      <c r="W35" s="86">
        <f t="shared" ca="1" si="13"/>
        <v>1</v>
      </c>
      <c r="X35" s="80">
        <f t="shared" ca="1" si="14"/>
        <v>0</v>
      </c>
      <c r="Y35" s="62">
        <f t="shared" ca="1" si="15"/>
        <v>1</v>
      </c>
      <c r="Z35" s="35">
        <f t="shared" ca="1" si="16"/>
        <v>0.29166666666666663</v>
      </c>
      <c r="AA35" s="38">
        <f t="shared" ca="1" si="17"/>
        <v>120399.99999999999</v>
      </c>
      <c r="AB35" s="38">
        <f t="shared" ca="1" si="18"/>
        <v>0</v>
      </c>
      <c r="AC35" s="38">
        <f t="shared" ca="1" si="19"/>
        <v>0</v>
      </c>
      <c r="AD35" s="48">
        <f t="shared" ca="1" si="20"/>
        <v>120399.99999999999</v>
      </c>
      <c r="AE35" s="28" t="str">
        <f t="shared" ca="1" si="21"/>
        <v>振込</v>
      </c>
    </row>
    <row r="36" spans="1:31">
      <c r="A36" s="28" t="s">
        <v>36</v>
      </c>
      <c r="B36" s="29" t="s">
        <v>270</v>
      </c>
      <c r="C36" s="29" t="s">
        <v>271</v>
      </c>
      <c r="D36" s="26" t="s">
        <v>153</v>
      </c>
      <c r="E36" s="28">
        <f t="shared" ca="1" si="0"/>
        <v>0</v>
      </c>
      <c r="F36" s="33">
        <v>17200</v>
      </c>
      <c r="G36" s="35">
        <f t="shared" ca="1" si="1"/>
        <v>0</v>
      </c>
      <c r="H36" s="35">
        <f t="shared" ca="1" si="5"/>
        <v>0</v>
      </c>
      <c r="I36" s="44">
        <f t="shared" ca="1" si="6"/>
        <v>0</v>
      </c>
      <c r="J36" s="33">
        <v>4300</v>
      </c>
      <c r="K36" s="35">
        <f t="shared" ca="1" si="2"/>
        <v>0</v>
      </c>
      <c r="L36" s="35">
        <f t="shared" ca="1" si="7"/>
        <v>0</v>
      </c>
      <c r="M36" s="44">
        <f t="shared" ca="1" si="8"/>
        <v>0</v>
      </c>
      <c r="N36" s="28">
        <f t="shared" ca="1" si="3"/>
        <v>0</v>
      </c>
      <c r="O36" s="33">
        <v>17200</v>
      </c>
      <c r="P36" s="35">
        <f t="shared" ca="1" si="9"/>
        <v>0</v>
      </c>
      <c r="Q36" s="35">
        <f t="shared" ca="1" si="10"/>
        <v>0</v>
      </c>
      <c r="R36" s="45">
        <f t="shared" ca="1" si="11"/>
        <v>0</v>
      </c>
      <c r="S36" s="86">
        <v>8032</v>
      </c>
      <c r="T36" s="86">
        <f t="shared" ca="1" si="4"/>
        <v>0</v>
      </c>
      <c r="U36" s="81">
        <f t="shared" ca="1" si="12"/>
        <v>0</v>
      </c>
      <c r="V36" s="86"/>
      <c r="W36" s="86">
        <f t="shared" ca="1" si="13"/>
        <v>0</v>
      </c>
      <c r="X36" s="80">
        <f t="shared" ca="1" si="14"/>
        <v>0</v>
      </c>
      <c r="Y36" s="62">
        <f t="shared" ca="1" si="15"/>
        <v>0</v>
      </c>
      <c r="Z36" s="35">
        <f t="shared" ca="1" si="16"/>
        <v>0</v>
      </c>
      <c r="AA36" s="38">
        <f t="shared" ca="1" si="17"/>
        <v>0</v>
      </c>
      <c r="AB36" s="38">
        <f t="shared" ca="1" si="18"/>
        <v>0</v>
      </c>
      <c r="AC36" s="38">
        <f t="shared" ca="1" si="19"/>
        <v>0</v>
      </c>
      <c r="AD36" s="48">
        <f t="shared" ca="1" si="20"/>
        <v>0</v>
      </c>
      <c r="AE36" s="28" t="str">
        <f t="shared" ca="1" si="21"/>
        <v/>
      </c>
    </row>
    <row r="37" spans="1:31">
      <c r="A37" s="28" t="s">
        <v>36</v>
      </c>
      <c r="B37" s="29" t="s">
        <v>272</v>
      </c>
      <c r="C37" s="29" t="s">
        <v>273</v>
      </c>
      <c r="D37" s="26" t="s">
        <v>154</v>
      </c>
      <c r="E37" s="28">
        <f t="shared" ref="E37:E68" ca="1" si="24">COUNTIFS(INDIRECT(台帳_A通常範囲),"&gt;0",INDIRECT(台帳_氏名範囲),$D37,INDIRECT(台帳_例月範囲),台帳_集計月)</f>
        <v>0</v>
      </c>
      <c r="F37" s="33">
        <v>17200</v>
      </c>
      <c r="G37" s="35">
        <f t="shared" ref="G37:G68" ca="1" si="25">SUMIFS(INDIRECT(台帳_A通常範囲),INDIRECT(台帳_氏名範囲),$D37,INDIRECT(台帳_例月範囲),台帳_集計月)</f>
        <v>0</v>
      </c>
      <c r="H37" s="35">
        <f t="shared" ca="1" si="5"/>
        <v>0</v>
      </c>
      <c r="I37" s="44">
        <f t="shared" ca="1" si="6"/>
        <v>0</v>
      </c>
      <c r="J37" s="33">
        <v>4300</v>
      </c>
      <c r="K37" s="35">
        <f t="shared" ref="K37:K68" ca="1" si="26">SUMIFS(INDIRECT(台帳_A深夜範囲),INDIRECT(台帳_氏名範囲),$D37,INDIRECT(台帳_例月範囲),台帳_集計月)</f>
        <v>0</v>
      </c>
      <c r="L37" s="35">
        <f t="shared" ca="1" si="7"/>
        <v>0</v>
      </c>
      <c r="M37" s="44">
        <f t="shared" ca="1" si="8"/>
        <v>0</v>
      </c>
      <c r="N37" s="28">
        <f t="shared" ref="N37:N68" ca="1" si="27">COUNTIFS(INDIRECT(台帳_B通常範囲),"&gt;0",INDIRECT(台帳_氏名範囲),$D37,INDIRECT(台帳_例月範囲),台帳_集計月)</f>
        <v>0</v>
      </c>
      <c r="O37" s="33">
        <v>17200</v>
      </c>
      <c r="P37" s="35">
        <f t="shared" ref="P37:P68" ca="1" si="28">SUMIFS(INDIRECT(台帳_B通常範囲),INDIRECT(台帳_氏名範囲),$D37,INDIRECT(台帳_例月範囲),台帳_集計月)</f>
        <v>0</v>
      </c>
      <c r="Q37" s="35">
        <f t="shared" ca="1" si="10"/>
        <v>0</v>
      </c>
      <c r="R37" s="45">
        <f t="shared" ca="1" si="11"/>
        <v>0</v>
      </c>
      <c r="S37" s="86">
        <v>8032</v>
      </c>
      <c r="T37" s="86">
        <f t="shared" ref="T37:T68" ca="1" si="29">COUNTIFS(INDIRECT(台帳_有給),"&lt;&gt;"&amp;"",INDIRECT(台帳_氏名範囲),$D37,INDIRECT(台帳_例月範囲),台帳_集計月)</f>
        <v>0</v>
      </c>
      <c r="U37" s="81">
        <f t="shared" ca="1" si="12"/>
        <v>0</v>
      </c>
      <c r="V37" s="86"/>
      <c r="W37" s="86">
        <f t="shared" ca="1" si="13"/>
        <v>0</v>
      </c>
      <c r="X37" s="80">
        <f t="shared" ca="1" si="14"/>
        <v>0</v>
      </c>
      <c r="Y37" s="62">
        <f t="shared" ca="1" si="15"/>
        <v>0</v>
      </c>
      <c r="Z37" s="35">
        <f t="shared" ca="1" si="16"/>
        <v>0</v>
      </c>
      <c r="AA37" s="38">
        <f t="shared" ca="1" si="17"/>
        <v>0</v>
      </c>
      <c r="AB37" s="38">
        <f t="shared" ca="1" si="18"/>
        <v>0</v>
      </c>
      <c r="AC37" s="38">
        <f t="shared" ca="1" si="19"/>
        <v>0</v>
      </c>
      <c r="AD37" s="48">
        <f t="shared" ca="1" si="20"/>
        <v>0</v>
      </c>
      <c r="AE37" s="28" t="str">
        <f t="shared" ca="1" si="21"/>
        <v/>
      </c>
    </row>
    <row r="38" spans="1:31">
      <c r="A38" s="28" t="s">
        <v>36</v>
      </c>
      <c r="B38" s="29" t="s">
        <v>274</v>
      </c>
      <c r="C38" s="29" t="s">
        <v>275</v>
      </c>
      <c r="D38" s="26" t="s">
        <v>155</v>
      </c>
      <c r="E38" s="28">
        <f t="shared" ca="1" si="24"/>
        <v>0</v>
      </c>
      <c r="F38" s="33">
        <v>17200</v>
      </c>
      <c r="G38" s="35">
        <f t="shared" ca="1" si="25"/>
        <v>0</v>
      </c>
      <c r="H38" s="35">
        <f t="shared" ca="1" si="5"/>
        <v>0</v>
      </c>
      <c r="I38" s="44">
        <f t="shared" ca="1" si="6"/>
        <v>0</v>
      </c>
      <c r="J38" s="33">
        <v>4300</v>
      </c>
      <c r="K38" s="35">
        <f t="shared" ca="1" si="26"/>
        <v>0</v>
      </c>
      <c r="L38" s="35">
        <f t="shared" ca="1" si="7"/>
        <v>0</v>
      </c>
      <c r="M38" s="44">
        <f t="shared" ca="1" si="8"/>
        <v>0</v>
      </c>
      <c r="N38" s="28">
        <f t="shared" ca="1" si="27"/>
        <v>0</v>
      </c>
      <c r="O38" s="33">
        <v>17200</v>
      </c>
      <c r="P38" s="35">
        <f t="shared" ca="1" si="28"/>
        <v>0</v>
      </c>
      <c r="Q38" s="35">
        <f t="shared" ca="1" si="10"/>
        <v>0</v>
      </c>
      <c r="R38" s="45">
        <f t="shared" ca="1" si="11"/>
        <v>0</v>
      </c>
      <c r="S38" s="86">
        <v>8032</v>
      </c>
      <c r="T38" s="86">
        <f t="shared" ca="1" si="29"/>
        <v>0</v>
      </c>
      <c r="U38" s="81">
        <f t="shared" ca="1" si="12"/>
        <v>0</v>
      </c>
      <c r="V38" s="86"/>
      <c r="W38" s="86">
        <f t="shared" ca="1" si="13"/>
        <v>0</v>
      </c>
      <c r="X38" s="80">
        <f t="shared" ca="1" si="14"/>
        <v>0</v>
      </c>
      <c r="Y38" s="62">
        <f t="shared" ca="1" si="15"/>
        <v>0</v>
      </c>
      <c r="Z38" s="35">
        <f t="shared" ca="1" si="16"/>
        <v>0</v>
      </c>
      <c r="AA38" s="38">
        <f t="shared" ca="1" si="17"/>
        <v>0</v>
      </c>
      <c r="AB38" s="38">
        <f t="shared" ca="1" si="18"/>
        <v>0</v>
      </c>
      <c r="AC38" s="38">
        <f t="shared" ca="1" si="19"/>
        <v>0</v>
      </c>
      <c r="AD38" s="48">
        <f t="shared" ca="1" si="20"/>
        <v>0</v>
      </c>
      <c r="AE38" s="28" t="str">
        <f t="shared" ca="1" si="21"/>
        <v/>
      </c>
    </row>
    <row r="39" spans="1:31">
      <c r="A39" s="28" t="s">
        <v>36</v>
      </c>
      <c r="B39" s="29" t="s">
        <v>276</v>
      </c>
      <c r="C39" s="29" t="s">
        <v>277</v>
      </c>
      <c r="D39" s="26" t="s">
        <v>156</v>
      </c>
      <c r="E39" s="28">
        <f t="shared" ca="1" si="24"/>
        <v>0</v>
      </c>
      <c r="F39" s="33">
        <v>17200</v>
      </c>
      <c r="G39" s="35">
        <f t="shared" ca="1" si="25"/>
        <v>0</v>
      </c>
      <c r="H39" s="35">
        <f t="shared" ca="1" si="5"/>
        <v>0</v>
      </c>
      <c r="I39" s="44">
        <f t="shared" ca="1" si="6"/>
        <v>0</v>
      </c>
      <c r="J39" s="33">
        <v>4300</v>
      </c>
      <c r="K39" s="35">
        <f t="shared" ca="1" si="26"/>
        <v>0</v>
      </c>
      <c r="L39" s="35">
        <f t="shared" ca="1" si="7"/>
        <v>0</v>
      </c>
      <c r="M39" s="44">
        <f t="shared" ca="1" si="8"/>
        <v>0</v>
      </c>
      <c r="N39" s="28">
        <f t="shared" ca="1" si="27"/>
        <v>0</v>
      </c>
      <c r="O39" s="33">
        <v>17200</v>
      </c>
      <c r="P39" s="35">
        <f t="shared" ca="1" si="28"/>
        <v>0</v>
      </c>
      <c r="Q39" s="35">
        <f t="shared" ca="1" si="10"/>
        <v>0</v>
      </c>
      <c r="R39" s="45">
        <f t="shared" ca="1" si="11"/>
        <v>0</v>
      </c>
      <c r="S39" s="86">
        <v>8032</v>
      </c>
      <c r="T39" s="86">
        <f t="shared" ca="1" si="29"/>
        <v>0</v>
      </c>
      <c r="U39" s="81">
        <f t="shared" ca="1" si="12"/>
        <v>0</v>
      </c>
      <c r="V39" s="86"/>
      <c r="W39" s="86">
        <f t="shared" ca="1" si="13"/>
        <v>0</v>
      </c>
      <c r="X39" s="80">
        <f t="shared" ca="1" si="14"/>
        <v>0</v>
      </c>
      <c r="Y39" s="62">
        <f t="shared" ca="1" si="15"/>
        <v>0</v>
      </c>
      <c r="Z39" s="35">
        <f t="shared" ca="1" si="16"/>
        <v>0</v>
      </c>
      <c r="AA39" s="38">
        <f t="shared" ca="1" si="17"/>
        <v>0</v>
      </c>
      <c r="AB39" s="38">
        <f t="shared" ca="1" si="18"/>
        <v>0</v>
      </c>
      <c r="AC39" s="38">
        <f t="shared" ca="1" si="19"/>
        <v>0</v>
      </c>
      <c r="AD39" s="48">
        <f t="shared" ca="1" si="20"/>
        <v>0</v>
      </c>
      <c r="AE39" s="28" t="str">
        <f t="shared" ca="1" si="21"/>
        <v/>
      </c>
    </row>
    <row r="40" spans="1:31">
      <c r="A40" s="28" t="s">
        <v>36</v>
      </c>
      <c r="B40" s="29" t="s">
        <v>278</v>
      </c>
      <c r="C40" s="29" t="s">
        <v>279</v>
      </c>
      <c r="D40" s="26" t="s">
        <v>157</v>
      </c>
      <c r="E40" s="28">
        <f t="shared" ca="1" si="24"/>
        <v>0</v>
      </c>
      <c r="F40" s="33">
        <v>17200</v>
      </c>
      <c r="G40" s="35">
        <f t="shared" ca="1" si="25"/>
        <v>0</v>
      </c>
      <c r="H40" s="35">
        <f t="shared" ca="1" si="5"/>
        <v>0</v>
      </c>
      <c r="I40" s="44">
        <f t="shared" ca="1" si="6"/>
        <v>0</v>
      </c>
      <c r="J40" s="33">
        <v>4300</v>
      </c>
      <c r="K40" s="35">
        <f t="shared" ca="1" si="26"/>
        <v>0</v>
      </c>
      <c r="L40" s="35">
        <f t="shared" ca="1" si="7"/>
        <v>0</v>
      </c>
      <c r="M40" s="44">
        <f t="shared" ca="1" si="8"/>
        <v>0</v>
      </c>
      <c r="N40" s="28">
        <f t="shared" ca="1" si="27"/>
        <v>0</v>
      </c>
      <c r="O40" s="33">
        <v>17200</v>
      </c>
      <c r="P40" s="35">
        <f t="shared" ca="1" si="28"/>
        <v>0</v>
      </c>
      <c r="Q40" s="35">
        <f t="shared" ca="1" si="10"/>
        <v>0</v>
      </c>
      <c r="R40" s="45">
        <f t="shared" ca="1" si="11"/>
        <v>0</v>
      </c>
      <c r="S40" s="86">
        <v>8032</v>
      </c>
      <c r="T40" s="86">
        <f t="shared" ca="1" si="29"/>
        <v>0</v>
      </c>
      <c r="U40" s="81">
        <f t="shared" ca="1" si="12"/>
        <v>0</v>
      </c>
      <c r="V40" s="86"/>
      <c r="W40" s="86">
        <f t="shared" ca="1" si="13"/>
        <v>0</v>
      </c>
      <c r="X40" s="80">
        <f t="shared" ca="1" si="14"/>
        <v>0</v>
      </c>
      <c r="Y40" s="62">
        <f t="shared" ca="1" si="15"/>
        <v>0</v>
      </c>
      <c r="Z40" s="35">
        <f t="shared" ca="1" si="16"/>
        <v>0</v>
      </c>
      <c r="AA40" s="38">
        <f t="shared" ca="1" si="17"/>
        <v>0</v>
      </c>
      <c r="AB40" s="38">
        <f t="shared" ca="1" si="18"/>
        <v>0</v>
      </c>
      <c r="AC40" s="38">
        <f t="shared" ca="1" si="19"/>
        <v>0</v>
      </c>
      <c r="AD40" s="48">
        <f t="shared" ca="1" si="20"/>
        <v>0</v>
      </c>
      <c r="AE40" s="28" t="str">
        <f t="shared" ca="1" si="21"/>
        <v/>
      </c>
    </row>
    <row r="41" spans="1:31">
      <c r="A41" s="28" t="s">
        <v>36</v>
      </c>
      <c r="B41" s="29" t="s">
        <v>280</v>
      </c>
      <c r="C41" s="29" t="s">
        <v>281</v>
      </c>
      <c r="D41" s="26" t="s">
        <v>158</v>
      </c>
      <c r="E41" s="28">
        <f t="shared" ca="1" si="24"/>
        <v>0</v>
      </c>
      <c r="F41" s="33">
        <v>17200</v>
      </c>
      <c r="G41" s="35">
        <f t="shared" ca="1" si="25"/>
        <v>0</v>
      </c>
      <c r="H41" s="35">
        <f t="shared" ca="1" si="5"/>
        <v>0</v>
      </c>
      <c r="I41" s="44">
        <f t="shared" ca="1" si="6"/>
        <v>0</v>
      </c>
      <c r="J41" s="33">
        <v>4300</v>
      </c>
      <c r="K41" s="35">
        <f t="shared" ca="1" si="26"/>
        <v>0</v>
      </c>
      <c r="L41" s="35">
        <f t="shared" ca="1" si="7"/>
        <v>0</v>
      </c>
      <c r="M41" s="44">
        <f t="shared" ca="1" si="8"/>
        <v>0</v>
      </c>
      <c r="N41" s="28">
        <f t="shared" ca="1" si="27"/>
        <v>0</v>
      </c>
      <c r="O41" s="33">
        <v>17200</v>
      </c>
      <c r="P41" s="35">
        <f t="shared" ca="1" si="28"/>
        <v>0</v>
      </c>
      <c r="Q41" s="35">
        <f t="shared" ca="1" si="10"/>
        <v>0</v>
      </c>
      <c r="R41" s="45">
        <f t="shared" ca="1" si="11"/>
        <v>0</v>
      </c>
      <c r="S41" s="86">
        <v>8032</v>
      </c>
      <c r="T41" s="86">
        <f t="shared" ca="1" si="29"/>
        <v>0</v>
      </c>
      <c r="U41" s="81">
        <f t="shared" ca="1" si="12"/>
        <v>0</v>
      </c>
      <c r="V41" s="86"/>
      <c r="W41" s="86">
        <f t="shared" ca="1" si="13"/>
        <v>0</v>
      </c>
      <c r="X41" s="80">
        <f t="shared" ca="1" si="14"/>
        <v>0</v>
      </c>
      <c r="Y41" s="62">
        <f t="shared" ca="1" si="15"/>
        <v>0</v>
      </c>
      <c r="Z41" s="35">
        <f t="shared" ca="1" si="16"/>
        <v>0</v>
      </c>
      <c r="AA41" s="38">
        <f t="shared" ca="1" si="17"/>
        <v>0</v>
      </c>
      <c r="AB41" s="38">
        <f t="shared" ca="1" si="18"/>
        <v>0</v>
      </c>
      <c r="AC41" s="38">
        <f t="shared" ca="1" si="19"/>
        <v>0</v>
      </c>
      <c r="AD41" s="48">
        <f t="shared" ca="1" si="20"/>
        <v>0</v>
      </c>
      <c r="AE41" s="28" t="str">
        <f t="shared" ca="1" si="21"/>
        <v/>
      </c>
    </row>
    <row r="42" spans="1:31">
      <c r="A42" s="28" t="s">
        <v>36</v>
      </c>
      <c r="B42" s="29" t="s">
        <v>282</v>
      </c>
      <c r="C42" s="29" t="s">
        <v>283</v>
      </c>
      <c r="D42" s="26" t="s">
        <v>159</v>
      </c>
      <c r="E42" s="28">
        <f t="shared" ca="1" si="24"/>
        <v>0</v>
      </c>
      <c r="F42" s="33">
        <v>17200</v>
      </c>
      <c r="G42" s="35">
        <f t="shared" ca="1" si="25"/>
        <v>0</v>
      </c>
      <c r="H42" s="35">
        <f t="shared" ca="1" si="5"/>
        <v>0</v>
      </c>
      <c r="I42" s="44">
        <f t="shared" ca="1" si="6"/>
        <v>0</v>
      </c>
      <c r="J42" s="33">
        <v>4300</v>
      </c>
      <c r="K42" s="35">
        <f t="shared" ca="1" si="26"/>
        <v>0</v>
      </c>
      <c r="L42" s="35">
        <f t="shared" ca="1" si="7"/>
        <v>0</v>
      </c>
      <c r="M42" s="44">
        <f t="shared" ca="1" si="8"/>
        <v>0</v>
      </c>
      <c r="N42" s="28">
        <f t="shared" ca="1" si="27"/>
        <v>0</v>
      </c>
      <c r="O42" s="33">
        <v>17200</v>
      </c>
      <c r="P42" s="35">
        <f t="shared" ca="1" si="28"/>
        <v>0</v>
      </c>
      <c r="Q42" s="35">
        <f t="shared" ca="1" si="10"/>
        <v>0</v>
      </c>
      <c r="R42" s="45">
        <f t="shared" ca="1" si="11"/>
        <v>0</v>
      </c>
      <c r="S42" s="86">
        <v>8032</v>
      </c>
      <c r="T42" s="86">
        <f t="shared" ca="1" si="29"/>
        <v>0</v>
      </c>
      <c r="U42" s="81">
        <f t="shared" ca="1" si="12"/>
        <v>0</v>
      </c>
      <c r="V42" s="86"/>
      <c r="W42" s="86">
        <f t="shared" ca="1" si="13"/>
        <v>0</v>
      </c>
      <c r="X42" s="80">
        <f t="shared" ca="1" si="14"/>
        <v>0</v>
      </c>
      <c r="Y42" s="62">
        <f t="shared" ca="1" si="15"/>
        <v>0</v>
      </c>
      <c r="Z42" s="35">
        <f t="shared" ca="1" si="16"/>
        <v>0</v>
      </c>
      <c r="AA42" s="38">
        <f t="shared" ca="1" si="17"/>
        <v>0</v>
      </c>
      <c r="AB42" s="38">
        <f t="shared" ca="1" si="18"/>
        <v>0</v>
      </c>
      <c r="AC42" s="38">
        <f t="shared" ca="1" si="19"/>
        <v>0</v>
      </c>
      <c r="AD42" s="48">
        <f t="shared" ca="1" si="20"/>
        <v>0</v>
      </c>
      <c r="AE42" s="28" t="str">
        <f t="shared" ca="1" si="21"/>
        <v/>
      </c>
    </row>
    <row r="43" spans="1:31">
      <c r="A43" s="28" t="s">
        <v>36</v>
      </c>
      <c r="B43" s="29" t="s">
        <v>284</v>
      </c>
      <c r="C43" s="29" t="s">
        <v>285</v>
      </c>
      <c r="D43" s="26" t="s">
        <v>160</v>
      </c>
      <c r="E43" s="28">
        <f t="shared" ca="1" si="24"/>
        <v>0</v>
      </c>
      <c r="F43" s="33">
        <v>17200</v>
      </c>
      <c r="G43" s="35">
        <f t="shared" ca="1" si="25"/>
        <v>0</v>
      </c>
      <c r="H43" s="35">
        <f t="shared" ca="1" si="5"/>
        <v>0</v>
      </c>
      <c r="I43" s="44">
        <f t="shared" ca="1" si="6"/>
        <v>0</v>
      </c>
      <c r="J43" s="33">
        <v>4300</v>
      </c>
      <c r="K43" s="35">
        <f t="shared" ca="1" si="26"/>
        <v>0</v>
      </c>
      <c r="L43" s="35">
        <f t="shared" ca="1" si="7"/>
        <v>0</v>
      </c>
      <c r="M43" s="44">
        <f t="shared" ca="1" si="8"/>
        <v>0</v>
      </c>
      <c r="N43" s="28">
        <f t="shared" ca="1" si="27"/>
        <v>0</v>
      </c>
      <c r="O43" s="33">
        <v>17200</v>
      </c>
      <c r="P43" s="35">
        <f t="shared" ca="1" si="28"/>
        <v>0</v>
      </c>
      <c r="Q43" s="35">
        <f t="shared" ca="1" si="10"/>
        <v>0</v>
      </c>
      <c r="R43" s="45">
        <f t="shared" ca="1" si="11"/>
        <v>0</v>
      </c>
      <c r="S43" s="86">
        <v>8032</v>
      </c>
      <c r="T43" s="86">
        <f t="shared" ca="1" si="29"/>
        <v>0</v>
      </c>
      <c r="U43" s="81">
        <f t="shared" ca="1" si="12"/>
        <v>0</v>
      </c>
      <c r="V43" s="86"/>
      <c r="W43" s="86">
        <f t="shared" ca="1" si="13"/>
        <v>0</v>
      </c>
      <c r="X43" s="80">
        <f t="shared" ca="1" si="14"/>
        <v>0</v>
      </c>
      <c r="Y43" s="62">
        <f t="shared" ca="1" si="15"/>
        <v>0</v>
      </c>
      <c r="Z43" s="35">
        <f t="shared" ca="1" si="16"/>
        <v>0</v>
      </c>
      <c r="AA43" s="38">
        <f t="shared" ca="1" si="17"/>
        <v>0</v>
      </c>
      <c r="AB43" s="38">
        <f t="shared" ca="1" si="18"/>
        <v>0</v>
      </c>
      <c r="AC43" s="38">
        <f t="shared" ca="1" si="19"/>
        <v>0</v>
      </c>
      <c r="AD43" s="48">
        <f t="shared" ca="1" si="20"/>
        <v>0</v>
      </c>
      <c r="AE43" s="28" t="str">
        <f t="shared" ca="1" si="21"/>
        <v/>
      </c>
    </row>
    <row r="44" spans="1:31">
      <c r="A44" s="28" t="s">
        <v>36</v>
      </c>
      <c r="B44" s="29" t="s">
        <v>286</v>
      </c>
      <c r="C44" s="29" t="s">
        <v>287</v>
      </c>
      <c r="D44" s="26" t="s">
        <v>161</v>
      </c>
      <c r="E44" s="28">
        <f t="shared" ca="1" si="24"/>
        <v>0</v>
      </c>
      <c r="F44" s="33">
        <v>17200</v>
      </c>
      <c r="G44" s="35">
        <f t="shared" ca="1" si="25"/>
        <v>0</v>
      </c>
      <c r="H44" s="35">
        <f t="shared" ca="1" si="5"/>
        <v>0</v>
      </c>
      <c r="I44" s="44">
        <f t="shared" ca="1" si="6"/>
        <v>0</v>
      </c>
      <c r="J44" s="33">
        <v>4300</v>
      </c>
      <c r="K44" s="35">
        <f t="shared" ca="1" si="26"/>
        <v>0</v>
      </c>
      <c r="L44" s="35">
        <f t="shared" ca="1" si="7"/>
        <v>0</v>
      </c>
      <c r="M44" s="44">
        <f t="shared" ca="1" si="8"/>
        <v>0</v>
      </c>
      <c r="N44" s="28">
        <f t="shared" ca="1" si="27"/>
        <v>0</v>
      </c>
      <c r="O44" s="33">
        <v>17200</v>
      </c>
      <c r="P44" s="35">
        <f t="shared" ca="1" si="28"/>
        <v>0</v>
      </c>
      <c r="Q44" s="35">
        <f t="shared" ca="1" si="10"/>
        <v>0</v>
      </c>
      <c r="R44" s="45">
        <f t="shared" ca="1" si="11"/>
        <v>0</v>
      </c>
      <c r="S44" s="86">
        <v>8032</v>
      </c>
      <c r="T44" s="86">
        <f t="shared" ca="1" si="29"/>
        <v>0</v>
      </c>
      <c r="U44" s="81">
        <f t="shared" ca="1" si="12"/>
        <v>0</v>
      </c>
      <c r="V44" s="86"/>
      <c r="W44" s="86">
        <f t="shared" ca="1" si="13"/>
        <v>0</v>
      </c>
      <c r="X44" s="80">
        <f t="shared" ca="1" si="14"/>
        <v>0</v>
      </c>
      <c r="Y44" s="62">
        <f t="shared" ca="1" si="15"/>
        <v>0</v>
      </c>
      <c r="Z44" s="35">
        <f t="shared" ca="1" si="16"/>
        <v>0</v>
      </c>
      <c r="AA44" s="38">
        <f t="shared" ca="1" si="17"/>
        <v>0</v>
      </c>
      <c r="AB44" s="38">
        <f t="shared" ca="1" si="18"/>
        <v>0</v>
      </c>
      <c r="AC44" s="38">
        <f t="shared" ca="1" si="19"/>
        <v>0</v>
      </c>
      <c r="AD44" s="48">
        <f t="shared" ca="1" si="20"/>
        <v>0</v>
      </c>
      <c r="AE44" s="28" t="str">
        <f t="shared" ca="1" si="21"/>
        <v/>
      </c>
    </row>
    <row r="45" spans="1:31">
      <c r="A45" s="28" t="s">
        <v>36</v>
      </c>
      <c r="B45" s="29" t="s">
        <v>288</v>
      </c>
      <c r="C45" s="29" t="s">
        <v>289</v>
      </c>
      <c r="D45" s="26" t="s">
        <v>162</v>
      </c>
      <c r="E45" s="28">
        <f t="shared" ca="1" si="24"/>
        <v>0</v>
      </c>
      <c r="F45" s="33">
        <v>17200</v>
      </c>
      <c r="G45" s="35">
        <f t="shared" ca="1" si="25"/>
        <v>0</v>
      </c>
      <c r="H45" s="35">
        <f t="shared" ca="1" si="5"/>
        <v>0</v>
      </c>
      <c r="I45" s="44">
        <f t="shared" ca="1" si="6"/>
        <v>0</v>
      </c>
      <c r="J45" s="33">
        <v>4300</v>
      </c>
      <c r="K45" s="35">
        <f t="shared" ca="1" si="26"/>
        <v>0</v>
      </c>
      <c r="L45" s="35">
        <f t="shared" ca="1" si="7"/>
        <v>0</v>
      </c>
      <c r="M45" s="44">
        <f t="shared" ca="1" si="8"/>
        <v>0</v>
      </c>
      <c r="N45" s="28">
        <f t="shared" ca="1" si="27"/>
        <v>0</v>
      </c>
      <c r="O45" s="33">
        <v>17200</v>
      </c>
      <c r="P45" s="35">
        <f t="shared" ca="1" si="28"/>
        <v>0</v>
      </c>
      <c r="Q45" s="35">
        <f t="shared" ca="1" si="10"/>
        <v>0</v>
      </c>
      <c r="R45" s="45">
        <f t="shared" ca="1" si="11"/>
        <v>0</v>
      </c>
      <c r="S45" s="86">
        <v>8032</v>
      </c>
      <c r="T45" s="86">
        <f t="shared" ca="1" si="29"/>
        <v>0</v>
      </c>
      <c r="U45" s="81">
        <f t="shared" ca="1" si="12"/>
        <v>0</v>
      </c>
      <c r="V45" s="86"/>
      <c r="W45" s="86">
        <f t="shared" ca="1" si="13"/>
        <v>0</v>
      </c>
      <c r="X45" s="80">
        <f t="shared" ca="1" si="14"/>
        <v>0</v>
      </c>
      <c r="Y45" s="62">
        <f t="shared" ca="1" si="15"/>
        <v>0</v>
      </c>
      <c r="Z45" s="35">
        <f t="shared" ca="1" si="16"/>
        <v>0</v>
      </c>
      <c r="AA45" s="38">
        <f t="shared" ca="1" si="17"/>
        <v>0</v>
      </c>
      <c r="AB45" s="38">
        <f t="shared" ca="1" si="18"/>
        <v>0</v>
      </c>
      <c r="AC45" s="38">
        <f t="shared" ca="1" si="19"/>
        <v>0</v>
      </c>
      <c r="AD45" s="48">
        <f t="shared" ca="1" si="20"/>
        <v>0</v>
      </c>
      <c r="AE45" s="28" t="str">
        <f t="shared" ca="1" si="21"/>
        <v/>
      </c>
    </row>
    <row r="46" spans="1:31">
      <c r="A46" s="28" t="s">
        <v>36</v>
      </c>
      <c r="B46" s="29" t="s">
        <v>290</v>
      </c>
      <c r="C46" s="29" t="s">
        <v>291</v>
      </c>
      <c r="D46" s="26" t="s">
        <v>163</v>
      </c>
      <c r="E46" s="28">
        <f t="shared" ca="1" si="24"/>
        <v>0</v>
      </c>
      <c r="F46" s="33">
        <v>17200</v>
      </c>
      <c r="G46" s="35">
        <f t="shared" ca="1" si="25"/>
        <v>0</v>
      </c>
      <c r="H46" s="35">
        <f t="shared" ca="1" si="5"/>
        <v>0</v>
      </c>
      <c r="I46" s="44">
        <f t="shared" ca="1" si="6"/>
        <v>0</v>
      </c>
      <c r="J46" s="33">
        <v>4300</v>
      </c>
      <c r="K46" s="35">
        <f t="shared" ca="1" si="26"/>
        <v>0</v>
      </c>
      <c r="L46" s="35">
        <f t="shared" ca="1" si="7"/>
        <v>0</v>
      </c>
      <c r="M46" s="44">
        <f t="shared" ca="1" si="8"/>
        <v>0</v>
      </c>
      <c r="N46" s="28">
        <f t="shared" ca="1" si="27"/>
        <v>0</v>
      </c>
      <c r="O46" s="33">
        <v>17200</v>
      </c>
      <c r="P46" s="35">
        <f t="shared" ca="1" si="28"/>
        <v>0</v>
      </c>
      <c r="Q46" s="35">
        <f t="shared" ca="1" si="10"/>
        <v>0</v>
      </c>
      <c r="R46" s="45">
        <f t="shared" ca="1" si="11"/>
        <v>0</v>
      </c>
      <c r="S46" s="86">
        <v>8032</v>
      </c>
      <c r="T46" s="86">
        <f t="shared" ca="1" si="29"/>
        <v>0</v>
      </c>
      <c r="U46" s="81">
        <f t="shared" ca="1" si="12"/>
        <v>0</v>
      </c>
      <c r="V46" s="86"/>
      <c r="W46" s="86">
        <f t="shared" ca="1" si="13"/>
        <v>0</v>
      </c>
      <c r="X46" s="80">
        <f t="shared" ca="1" si="14"/>
        <v>0</v>
      </c>
      <c r="Y46" s="62">
        <f t="shared" ca="1" si="15"/>
        <v>0</v>
      </c>
      <c r="Z46" s="35">
        <f t="shared" ca="1" si="16"/>
        <v>0</v>
      </c>
      <c r="AA46" s="38">
        <f t="shared" ca="1" si="17"/>
        <v>0</v>
      </c>
      <c r="AB46" s="38">
        <f t="shared" ca="1" si="18"/>
        <v>0</v>
      </c>
      <c r="AC46" s="38">
        <f t="shared" ca="1" si="19"/>
        <v>0</v>
      </c>
      <c r="AD46" s="48">
        <f t="shared" ca="1" si="20"/>
        <v>0</v>
      </c>
      <c r="AE46" s="28" t="str">
        <f t="shared" ca="1" si="21"/>
        <v/>
      </c>
    </row>
    <row r="47" spans="1:31">
      <c r="A47" s="28" t="s">
        <v>36</v>
      </c>
      <c r="B47" s="29" t="s">
        <v>292</v>
      </c>
      <c r="C47" s="29" t="s">
        <v>293</v>
      </c>
      <c r="D47" s="26" t="s">
        <v>164</v>
      </c>
      <c r="E47" s="28">
        <f t="shared" ca="1" si="24"/>
        <v>0</v>
      </c>
      <c r="F47" s="33">
        <v>17200</v>
      </c>
      <c r="G47" s="35">
        <f t="shared" ca="1" si="25"/>
        <v>0</v>
      </c>
      <c r="H47" s="35">
        <f t="shared" ca="1" si="5"/>
        <v>0</v>
      </c>
      <c r="I47" s="44">
        <f t="shared" ca="1" si="6"/>
        <v>0</v>
      </c>
      <c r="J47" s="33">
        <v>4300</v>
      </c>
      <c r="K47" s="35">
        <f t="shared" ca="1" si="26"/>
        <v>0</v>
      </c>
      <c r="L47" s="35">
        <f t="shared" ca="1" si="7"/>
        <v>0</v>
      </c>
      <c r="M47" s="44">
        <f t="shared" ca="1" si="8"/>
        <v>0</v>
      </c>
      <c r="N47" s="28">
        <f t="shared" ca="1" si="27"/>
        <v>0</v>
      </c>
      <c r="O47" s="33">
        <v>17200</v>
      </c>
      <c r="P47" s="35">
        <f t="shared" ca="1" si="28"/>
        <v>0</v>
      </c>
      <c r="Q47" s="35">
        <f t="shared" ca="1" si="10"/>
        <v>0</v>
      </c>
      <c r="R47" s="45">
        <f t="shared" ca="1" si="11"/>
        <v>0</v>
      </c>
      <c r="S47" s="86">
        <v>8032</v>
      </c>
      <c r="T47" s="86">
        <f t="shared" ca="1" si="29"/>
        <v>0</v>
      </c>
      <c r="U47" s="81">
        <f t="shared" ca="1" si="12"/>
        <v>0</v>
      </c>
      <c r="V47" s="86"/>
      <c r="W47" s="86">
        <f t="shared" ca="1" si="13"/>
        <v>0</v>
      </c>
      <c r="X47" s="80">
        <f t="shared" ca="1" si="14"/>
        <v>0</v>
      </c>
      <c r="Y47" s="62">
        <f t="shared" ca="1" si="15"/>
        <v>0</v>
      </c>
      <c r="Z47" s="35">
        <f t="shared" ca="1" si="16"/>
        <v>0</v>
      </c>
      <c r="AA47" s="38">
        <f t="shared" ca="1" si="17"/>
        <v>0</v>
      </c>
      <c r="AB47" s="38">
        <f t="shared" ca="1" si="18"/>
        <v>0</v>
      </c>
      <c r="AC47" s="38">
        <f t="shared" ca="1" si="19"/>
        <v>0</v>
      </c>
      <c r="AD47" s="48">
        <f t="shared" ca="1" si="20"/>
        <v>0</v>
      </c>
      <c r="AE47" s="28" t="str">
        <f t="shared" ca="1" si="21"/>
        <v/>
      </c>
    </row>
    <row r="48" spans="1:31">
      <c r="A48" s="28" t="s">
        <v>36</v>
      </c>
      <c r="B48" s="29" t="s">
        <v>294</v>
      </c>
      <c r="C48" s="29" t="s">
        <v>295</v>
      </c>
      <c r="D48" s="26" t="s">
        <v>165</v>
      </c>
      <c r="E48" s="28">
        <f t="shared" ca="1" si="24"/>
        <v>0</v>
      </c>
      <c r="F48" s="33">
        <v>17200</v>
      </c>
      <c r="G48" s="35">
        <f t="shared" ca="1" si="25"/>
        <v>0</v>
      </c>
      <c r="H48" s="35">
        <f t="shared" ca="1" si="5"/>
        <v>0</v>
      </c>
      <c r="I48" s="44">
        <f t="shared" ca="1" si="6"/>
        <v>0</v>
      </c>
      <c r="J48" s="33">
        <v>4300</v>
      </c>
      <c r="K48" s="35">
        <f t="shared" ca="1" si="26"/>
        <v>0</v>
      </c>
      <c r="L48" s="35">
        <f t="shared" ca="1" si="7"/>
        <v>0</v>
      </c>
      <c r="M48" s="44">
        <f t="shared" ca="1" si="8"/>
        <v>0</v>
      </c>
      <c r="N48" s="28">
        <f t="shared" ca="1" si="27"/>
        <v>0</v>
      </c>
      <c r="O48" s="33">
        <v>17200</v>
      </c>
      <c r="P48" s="35">
        <f t="shared" ca="1" si="28"/>
        <v>0</v>
      </c>
      <c r="Q48" s="35">
        <f t="shared" ca="1" si="10"/>
        <v>0</v>
      </c>
      <c r="R48" s="45">
        <f t="shared" ca="1" si="11"/>
        <v>0</v>
      </c>
      <c r="S48" s="86">
        <v>8032</v>
      </c>
      <c r="T48" s="86">
        <f t="shared" ca="1" si="29"/>
        <v>0</v>
      </c>
      <c r="U48" s="81">
        <f t="shared" ca="1" si="12"/>
        <v>0</v>
      </c>
      <c r="V48" s="86"/>
      <c r="W48" s="86">
        <f t="shared" ca="1" si="13"/>
        <v>0</v>
      </c>
      <c r="X48" s="80">
        <f t="shared" ca="1" si="14"/>
        <v>0</v>
      </c>
      <c r="Y48" s="62">
        <f t="shared" ca="1" si="15"/>
        <v>0</v>
      </c>
      <c r="Z48" s="35">
        <f t="shared" ca="1" si="16"/>
        <v>0</v>
      </c>
      <c r="AA48" s="38">
        <f t="shared" ca="1" si="17"/>
        <v>0</v>
      </c>
      <c r="AB48" s="38">
        <f t="shared" ca="1" si="18"/>
        <v>0</v>
      </c>
      <c r="AC48" s="38">
        <f t="shared" ca="1" si="19"/>
        <v>0</v>
      </c>
      <c r="AD48" s="48">
        <f t="shared" ca="1" si="20"/>
        <v>0</v>
      </c>
      <c r="AE48" s="28" t="str">
        <f t="shared" ca="1" si="21"/>
        <v/>
      </c>
    </row>
    <row r="49" spans="1:31">
      <c r="A49" s="28" t="s">
        <v>36</v>
      </c>
      <c r="B49" s="29" t="s">
        <v>296</v>
      </c>
      <c r="C49" s="29" t="s">
        <v>297</v>
      </c>
      <c r="D49" s="26" t="s">
        <v>166</v>
      </c>
      <c r="E49" s="28">
        <f t="shared" ca="1" si="24"/>
        <v>0</v>
      </c>
      <c r="F49" s="33">
        <v>17200</v>
      </c>
      <c r="G49" s="35">
        <f t="shared" ca="1" si="25"/>
        <v>0</v>
      </c>
      <c r="H49" s="35">
        <f t="shared" ca="1" si="5"/>
        <v>0</v>
      </c>
      <c r="I49" s="44">
        <f t="shared" ca="1" si="6"/>
        <v>0</v>
      </c>
      <c r="J49" s="33">
        <v>4300</v>
      </c>
      <c r="K49" s="35">
        <f t="shared" ca="1" si="26"/>
        <v>0</v>
      </c>
      <c r="L49" s="35">
        <f t="shared" ca="1" si="7"/>
        <v>0</v>
      </c>
      <c r="M49" s="44">
        <f t="shared" ca="1" si="8"/>
        <v>0</v>
      </c>
      <c r="N49" s="28">
        <f t="shared" ca="1" si="27"/>
        <v>0</v>
      </c>
      <c r="O49" s="33">
        <v>17200</v>
      </c>
      <c r="P49" s="35">
        <f t="shared" ca="1" si="28"/>
        <v>0</v>
      </c>
      <c r="Q49" s="35">
        <f t="shared" ca="1" si="10"/>
        <v>0</v>
      </c>
      <c r="R49" s="45">
        <f t="shared" ca="1" si="11"/>
        <v>0</v>
      </c>
      <c r="S49" s="86">
        <v>8032</v>
      </c>
      <c r="T49" s="86">
        <f t="shared" ca="1" si="29"/>
        <v>0</v>
      </c>
      <c r="U49" s="81">
        <f t="shared" ca="1" si="12"/>
        <v>0</v>
      </c>
      <c r="V49" s="86"/>
      <c r="W49" s="86">
        <f t="shared" ca="1" si="13"/>
        <v>0</v>
      </c>
      <c r="X49" s="80">
        <f t="shared" ca="1" si="14"/>
        <v>0</v>
      </c>
      <c r="Y49" s="62">
        <f t="shared" ca="1" si="15"/>
        <v>0</v>
      </c>
      <c r="Z49" s="35">
        <f t="shared" ca="1" si="16"/>
        <v>0</v>
      </c>
      <c r="AA49" s="38">
        <f t="shared" ca="1" si="17"/>
        <v>0</v>
      </c>
      <c r="AB49" s="38">
        <f t="shared" ca="1" si="18"/>
        <v>0</v>
      </c>
      <c r="AC49" s="38">
        <f t="shared" ca="1" si="19"/>
        <v>0</v>
      </c>
      <c r="AD49" s="48">
        <f t="shared" ca="1" si="20"/>
        <v>0</v>
      </c>
      <c r="AE49" s="28" t="str">
        <f t="shared" ca="1" si="21"/>
        <v/>
      </c>
    </row>
    <row r="50" spans="1:31">
      <c r="A50" s="28" t="s">
        <v>36</v>
      </c>
      <c r="B50" s="29" t="s">
        <v>298</v>
      </c>
      <c r="C50" s="29" t="s">
        <v>299</v>
      </c>
      <c r="D50" s="26" t="s">
        <v>167</v>
      </c>
      <c r="E50" s="28">
        <f t="shared" ca="1" si="24"/>
        <v>0</v>
      </c>
      <c r="F50" s="33">
        <v>17200</v>
      </c>
      <c r="G50" s="35">
        <f t="shared" ca="1" si="25"/>
        <v>0</v>
      </c>
      <c r="H50" s="35">
        <f t="shared" ca="1" si="5"/>
        <v>0</v>
      </c>
      <c r="I50" s="44">
        <f t="shared" ca="1" si="6"/>
        <v>0</v>
      </c>
      <c r="J50" s="33">
        <v>4300</v>
      </c>
      <c r="K50" s="35">
        <f t="shared" ca="1" si="26"/>
        <v>0</v>
      </c>
      <c r="L50" s="35">
        <f t="shared" ca="1" si="7"/>
        <v>0</v>
      </c>
      <c r="M50" s="44">
        <f t="shared" ca="1" si="8"/>
        <v>0</v>
      </c>
      <c r="N50" s="28">
        <f t="shared" ca="1" si="27"/>
        <v>0</v>
      </c>
      <c r="O50" s="33">
        <v>17200</v>
      </c>
      <c r="P50" s="35">
        <f t="shared" ca="1" si="28"/>
        <v>0</v>
      </c>
      <c r="Q50" s="35">
        <f t="shared" ca="1" si="10"/>
        <v>0</v>
      </c>
      <c r="R50" s="45">
        <f t="shared" ca="1" si="11"/>
        <v>0</v>
      </c>
      <c r="S50" s="86">
        <v>8032</v>
      </c>
      <c r="T50" s="86">
        <f t="shared" ca="1" si="29"/>
        <v>0</v>
      </c>
      <c r="U50" s="81">
        <f t="shared" ca="1" si="12"/>
        <v>0</v>
      </c>
      <c r="V50" s="86"/>
      <c r="W50" s="86">
        <f t="shared" ca="1" si="13"/>
        <v>0</v>
      </c>
      <c r="X50" s="80">
        <f t="shared" ca="1" si="14"/>
        <v>0</v>
      </c>
      <c r="Y50" s="62">
        <f t="shared" ca="1" si="15"/>
        <v>0</v>
      </c>
      <c r="Z50" s="35">
        <f t="shared" ca="1" si="16"/>
        <v>0</v>
      </c>
      <c r="AA50" s="38">
        <f t="shared" ca="1" si="17"/>
        <v>0</v>
      </c>
      <c r="AB50" s="38">
        <f t="shared" ca="1" si="18"/>
        <v>0</v>
      </c>
      <c r="AC50" s="38">
        <f t="shared" ca="1" si="19"/>
        <v>0</v>
      </c>
      <c r="AD50" s="48">
        <f t="shared" ca="1" si="20"/>
        <v>0</v>
      </c>
      <c r="AE50" s="28" t="str">
        <f t="shared" ca="1" si="21"/>
        <v/>
      </c>
    </row>
    <row r="51" spans="1:31">
      <c r="A51" s="28" t="s">
        <v>36</v>
      </c>
      <c r="B51" s="29" t="s">
        <v>300</v>
      </c>
      <c r="C51" s="29" t="s">
        <v>301</v>
      </c>
      <c r="D51" s="26" t="s">
        <v>168</v>
      </c>
      <c r="E51" s="28">
        <f t="shared" ca="1" si="24"/>
        <v>0</v>
      </c>
      <c r="F51" s="33">
        <v>17200</v>
      </c>
      <c r="G51" s="35">
        <f t="shared" ca="1" si="25"/>
        <v>0</v>
      </c>
      <c r="H51" s="35">
        <f t="shared" ca="1" si="5"/>
        <v>0</v>
      </c>
      <c r="I51" s="44">
        <f t="shared" ca="1" si="6"/>
        <v>0</v>
      </c>
      <c r="J51" s="33">
        <v>4300</v>
      </c>
      <c r="K51" s="35">
        <f t="shared" ca="1" si="26"/>
        <v>0</v>
      </c>
      <c r="L51" s="35">
        <f t="shared" ca="1" si="7"/>
        <v>0</v>
      </c>
      <c r="M51" s="44">
        <f t="shared" ca="1" si="8"/>
        <v>0</v>
      </c>
      <c r="N51" s="28">
        <f t="shared" ca="1" si="27"/>
        <v>0</v>
      </c>
      <c r="O51" s="33">
        <v>17200</v>
      </c>
      <c r="P51" s="35">
        <f t="shared" ca="1" si="28"/>
        <v>0</v>
      </c>
      <c r="Q51" s="35">
        <f t="shared" ca="1" si="10"/>
        <v>0</v>
      </c>
      <c r="R51" s="45">
        <f t="shared" ca="1" si="11"/>
        <v>0</v>
      </c>
      <c r="S51" s="86">
        <v>8032</v>
      </c>
      <c r="T51" s="86">
        <f t="shared" ca="1" si="29"/>
        <v>0</v>
      </c>
      <c r="U51" s="81">
        <f t="shared" ca="1" si="12"/>
        <v>0</v>
      </c>
      <c r="V51" s="86"/>
      <c r="W51" s="86">
        <f t="shared" ca="1" si="13"/>
        <v>0</v>
      </c>
      <c r="X51" s="80">
        <f t="shared" ca="1" si="14"/>
        <v>0</v>
      </c>
      <c r="Y51" s="62">
        <f t="shared" ca="1" si="15"/>
        <v>0</v>
      </c>
      <c r="Z51" s="35">
        <f t="shared" ca="1" si="16"/>
        <v>0</v>
      </c>
      <c r="AA51" s="38">
        <f t="shared" ca="1" si="17"/>
        <v>0</v>
      </c>
      <c r="AB51" s="38">
        <f t="shared" ca="1" si="18"/>
        <v>0</v>
      </c>
      <c r="AC51" s="38">
        <f t="shared" ca="1" si="19"/>
        <v>0</v>
      </c>
      <c r="AD51" s="48">
        <f t="shared" ca="1" si="20"/>
        <v>0</v>
      </c>
      <c r="AE51" s="28" t="str">
        <f t="shared" ca="1" si="21"/>
        <v/>
      </c>
    </row>
    <row r="52" spans="1:31">
      <c r="A52" s="28" t="s">
        <v>36</v>
      </c>
      <c r="B52" s="29" t="s">
        <v>302</v>
      </c>
      <c r="C52" s="29" t="s">
        <v>303</v>
      </c>
      <c r="D52" s="26" t="s">
        <v>169</v>
      </c>
      <c r="E52" s="28">
        <f t="shared" ca="1" si="24"/>
        <v>0</v>
      </c>
      <c r="F52" s="33">
        <v>17200</v>
      </c>
      <c r="G52" s="35">
        <f t="shared" ca="1" si="25"/>
        <v>0</v>
      </c>
      <c r="H52" s="35">
        <f t="shared" ca="1" si="5"/>
        <v>0</v>
      </c>
      <c r="I52" s="44">
        <f t="shared" ca="1" si="6"/>
        <v>0</v>
      </c>
      <c r="J52" s="33">
        <v>4300</v>
      </c>
      <c r="K52" s="35">
        <f t="shared" ca="1" si="26"/>
        <v>0</v>
      </c>
      <c r="L52" s="35">
        <f t="shared" ca="1" si="7"/>
        <v>0</v>
      </c>
      <c r="M52" s="44">
        <f t="shared" ca="1" si="8"/>
        <v>0</v>
      </c>
      <c r="N52" s="28">
        <f t="shared" ca="1" si="27"/>
        <v>0</v>
      </c>
      <c r="O52" s="33">
        <v>17200</v>
      </c>
      <c r="P52" s="35">
        <f t="shared" ca="1" si="28"/>
        <v>0</v>
      </c>
      <c r="Q52" s="35">
        <f t="shared" ca="1" si="10"/>
        <v>0</v>
      </c>
      <c r="R52" s="45">
        <f t="shared" ca="1" si="11"/>
        <v>0</v>
      </c>
      <c r="S52" s="86">
        <v>8032</v>
      </c>
      <c r="T52" s="86">
        <f t="shared" ca="1" si="29"/>
        <v>0</v>
      </c>
      <c r="U52" s="81">
        <f t="shared" ca="1" si="12"/>
        <v>0</v>
      </c>
      <c r="V52" s="86"/>
      <c r="W52" s="86">
        <f t="shared" ca="1" si="13"/>
        <v>0</v>
      </c>
      <c r="X52" s="80">
        <f t="shared" ca="1" si="14"/>
        <v>0</v>
      </c>
      <c r="Y52" s="62">
        <f t="shared" ca="1" si="15"/>
        <v>0</v>
      </c>
      <c r="Z52" s="35">
        <f t="shared" ca="1" si="16"/>
        <v>0</v>
      </c>
      <c r="AA52" s="38">
        <f t="shared" ca="1" si="17"/>
        <v>0</v>
      </c>
      <c r="AB52" s="38">
        <f t="shared" ca="1" si="18"/>
        <v>0</v>
      </c>
      <c r="AC52" s="38">
        <f t="shared" ca="1" si="19"/>
        <v>0</v>
      </c>
      <c r="AD52" s="48">
        <f t="shared" ca="1" si="20"/>
        <v>0</v>
      </c>
      <c r="AE52" s="28" t="str">
        <f t="shared" ca="1" si="21"/>
        <v/>
      </c>
    </row>
    <row r="53" spans="1:31">
      <c r="A53" s="28" t="s">
        <v>36</v>
      </c>
      <c r="B53" s="29" t="s">
        <v>304</v>
      </c>
      <c r="C53" s="29" t="s">
        <v>305</v>
      </c>
      <c r="D53" s="26" t="s">
        <v>170</v>
      </c>
      <c r="E53" s="28">
        <f t="shared" ca="1" si="24"/>
        <v>0</v>
      </c>
      <c r="F53" s="33">
        <v>17200</v>
      </c>
      <c r="G53" s="35">
        <f t="shared" ca="1" si="25"/>
        <v>0</v>
      </c>
      <c r="H53" s="35">
        <f t="shared" ca="1" si="5"/>
        <v>0</v>
      </c>
      <c r="I53" s="44">
        <f t="shared" ca="1" si="6"/>
        <v>0</v>
      </c>
      <c r="J53" s="33">
        <v>4300</v>
      </c>
      <c r="K53" s="35">
        <f t="shared" ca="1" si="26"/>
        <v>0</v>
      </c>
      <c r="L53" s="35">
        <f t="shared" ca="1" si="7"/>
        <v>0</v>
      </c>
      <c r="M53" s="44">
        <f t="shared" ca="1" si="8"/>
        <v>0</v>
      </c>
      <c r="N53" s="28">
        <f t="shared" ca="1" si="27"/>
        <v>0</v>
      </c>
      <c r="O53" s="33">
        <v>17200</v>
      </c>
      <c r="P53" s="35">
        <f t="shared" ca="1" si="28"/>
        <v>0</v>
      </c>
      <c r="Q53" s="35">
        <f t="shared" ca="1" si="10"/>
        <v>0</v>
      </c>
      <c r="R53" s="45">
        <f t="shared" ca="1" si="11"/>
        <v>0</v>
      </c>
      <c r="S53" s="86">
        <v>8032</v>
      </c>
      <c r="T53" s="86">
        <f t="shared" ca="1" si="29"/>
        <v>0</v>
      </c>
      <c r="U53" s="81">
        <f t="shared" ca="1" si="12"/>
        <v>0</v>
      </c>
      <c r="V53" s="86"/>
      <c r="W53" s="86">
        <f t="shared" ca="1" si="13"/>
        <v>0</v>
      </c>
      <c r="X53" s="80">
        <f t="shared" ca="1" si="14"/>
        <v>0</v>
      </c>
      <c r="Y53" s="62">
        <f t="shared" ca="1" si="15"/>
        <v>0</v>
      </c>
      <c r="Z53" s="35">
        <f t="shared" ca="1" si="16"/>
        <v>0</v>
      </c>
      <c r="AA53" s="38">
        <f t="shared" ca="1" si="17"/>
        <v>0</v>
      </c>
      <c r="AB53" s="38">
        <f t="shared" ca="1" si="18"/>
        <v>0</v>
      </c>
      <c r="AC53" s="38">
        <f t="shared" ca="1" si="19"/>
        <v>0</v>
      </c>
      <c r="AD53" s="48">
        <f t="shared" ca="1" si="20"/>
        <v>0</v>
      </c>
      <c r="AE53" s="28" t="str">
        <f t="shared" ca="1" si="21"/>
        <v/>
      </c>
    </row>
    <row r="54" spans="1:31">
      <c r="A54" s="28" t="s">
        <v>36</v>
      </c>
      <c r="B54" s="29" t="s">
        <v>306</v>
      </c>
      <c r="C54" s="29" t="s">
        <v>307</v>
      </c>
      <c r="D54" s="26" t="s">
        <v>171</v>
      </c>
      <c r="E54" s="28">
        <f t="shared" ca="1" si="24"/>
        <v>0</v>
      </c>
      <c r="F54" s="33">
        <v>17200</v>
      </c>
      <c r="G54" s="35">
        <f t="shared" ca="1" si="25"/>
        <v>0</v>
      </c>
      <c r="H54" s="35">
        <f t="shared" ca="1" si="5"/>
        <v>0</v>
      </c>
      <c r="I54" s="44">
        <f t="shared" ca="1" si="6"/>
        <v>0</v>
      </c>
      <c r="J54" s="33">
        <v>4300</v>
      </c>
      <c r="K54" s="35">
        <f t="shared" ca="1" si="26"/>
        <v>0</v>
      </c>
      <c r="L54" s="35">
        <f t="shared" ca="1" si="7"/>
        <v>0</v>
      </c>
      <c r="M54" s="44">
        <f t="shared" ca="1" si="8"/>
        <v>0</v>
      </c>
      <c r="N54" s="28">
        <f t="shared" ca="1" si="27"/>
        <v>0</v>
      </c>
      <c r="O54" s="33">
        <v>17200</v>
      </c>
      <c r="P54" s="35">
        <f t="shared" ca="1" si="28"/>
        <v>0</v>
      </c>
      <c r="Q54" s="35">
        <f t="shared" ca="1" si="10"/>
        <v>0</v>
      </c>
      <c r="R54" s="45">
        <f t="shared" ca="1" si="11"/>
        <v>0</v>
      </c>
      <c r="S54" s="86">
        <v>8032</v>
      </c>
      <c r="T54" s="86">
        <f t="shared" ca="1" si="29"/>
        <v>0</v>
      </c>
      <c r="U54" s="81">
        <f t="shared" ca="1" si="12"/>
        <v>0</v>
      </c>
      <c r="V54" s="86"/>
      <c r="W54" s="86">
        <f t="shared" ca="1" si="13"/>
        <v>0</v>
      </c>
      <c r="X54" s="80">
        <f t="shared" ca="1" si="14"/>
        <v>0</v>
      </c>
      <c r="Y54" s="62">
        <f t="shared" ca="1" si="15"/>
        <v>0</v>
      </c>
      <c r="Z54" s="35">
        <f t="shared" ca="1" si="16"/>
        <v>0</v>
      </c>
      <c r="AA54" s="38">
        <f t="shared" ca="1" si="17"/>
        <v>0</v>
      </c>
      <c r="AB54" s="38">
        <f t="shared" ca="1" si="18"/>
        <v>0</v>
      </c>
      <c r="AC54" s="38">
        <f t="shared" ca="1" si="19"/>
        <v>0</v>
      </c>
      <c r="AD54" s="48">
        <f t="shared" ca="1" si="20"/>
        <v>0</v>
      </c>
      <c r="AE54" s="28" t="str">
        <f t="shared" ca="1" si="21"/>
        <v/>
      </c>
    </row>
    <row r="55" spans="1:31">
      <c r="A55" s="28" t="s">
        <v>36</v>
      </c>
      <c r="B55" s="29" t="s">
        <v>308</v>
      </c>
      <c r="C55" s="29" t="s">
        <v>309</v>
      </c>
      <c r="D55" s="26" t="s">
        <v>172</v>
      </c>
      <c r="E55" s="28">
        <f t="shared" ca="1" si="24"/>
        <v>0</v>
      </c>
      <c r="F55" s="33">
        <v>17200</v>
      </c>
      <c r="G55" s="35">
        <f t="shared" ca="1" si="25"/>
        <v>0</v>
      </c>
      <c r="H55" s="35">
        <f t="shared" ca="1" si="5"/>
        <v>0</v>
      </c>
      <c r="I55" s="44">
        <f t="shared" ca="1" si="6"/>
        <v>0</v>
      </c>
      <c r="J55" s="33">
        <v>4300</v>
      </c>
      <c r="K55" s="35">
        <f t="shared" ca="1" si="26"/>
        <v>0</v>
      </c>
      <c r="L55" s="35">
        <f t="shared" ca="1" si="7"/>
        <v>0</v>
      </c>
      <c r="M55" s="44">
        <f t="shared" ca="1" si="8"/>
        <v>0</v>
      </c>
      <c r="N55" s="28">
        <f t="shared" ca="1" si="27"/>
        <v>0</v>
      </c>
      <c r="O55" s="33">
        <v>17200</v>
      </c>
      <c r="P55" s="35">
        <f t="shared" ca="1" si="28"/>
        <v>0</v>
      </c>
      <c r="Q55" s="35">
        <f t="shared" ca="1" si="10"/>
        <v>0</v>
      </c>
      <c r="R55" s="45">
        <f t="shared" ca="1" si="11"/>
        <v>0</v>
      </c>
      <c r="S55" s="86">
        <v>8032</v>
      </c>
      <c r="T55" s="86">
        <f t="shared" ca="1" si="29"/>
        <v>0</v>
      </c>
      <c r="U55" s="81">
        <f t="shared" ca="1" si="12"/>
        <v>0</v>
      </c>
      <c r="V55" s="86"/>
      <c r="W55" s="86">
        <f t="shared" ca="1" si="13"/>
        <v>0</v>
      </c>
      <c r="X55" s="80">
        <f t="shared" ca="1" si="14"/>
        <v>0</v>
      </c>
      <c r="Y55" s="62">
        <f t="shared" ca="1" si="15"/>
        <v>0</v>
      </c>
      <c r="Z55" s="35">
        <f t="shared" ca="1" si="16"/>
        <v>0</v>
      </c>
      <c r="AA55" s="38">
        <f t="shared" ca="1" si="17"/>
        <v>0</v>
      </c>
      <c r="AB55" s="38">
        <f t="shared" ca="1" si="18"/>
        <v>0</v>
      </c>
      <c r="AC55" s="38">
        <f t="shared" ca="1" si="19"/>
        <v>0</v>
      </c>
      <c r="AD55" s="48">
        <f t="shared" ca="1" si="20"/>
        <v>0</v>
      </c>
      <c r="AE55" s="28" t="str">
        <f t="shared" ca="1" si="21"/>
        <v/>
      </c>
    </row>
    <row r="56" spans="1:31">
      <c r="A56" s="28" t="s">
        <v>36</v>
      </c>
      <c r="B56" s="29" t="s">
        <v>310</v>
      </c>
      <c r="C56" s="29" t="s">
        <v>311</v>
      </c>
      <c r="D56" s="26" t="s">
        <v>173</v>
      </c>
      <c r="E56" s="28">
        <f t="shared" ca="1" si="24"/>
        <v>0</v>
      </c>
      <c r="F56" s="33">
        <v>17200</v>
      </c>
      <c r="G56" s="35">
        <f t="shared" ca="1" si="25"/>
        <v>0</v>
      </c>
      <c r="H56" s="35">
        <f t="shared" ca="1" si="5"/>
        <v>0</v>
      </c>
      <c r="I56" s="44">
        <f t="shared" ca="1" si="6"/>
        <v>0</v>
      </c>
      <c r="J56" s="33">
        <v>4300</v>
      </c>
      <c r="K56" s="35">
        <f t="shared" ca="1" si="26"/>
        <v>0</v>
      </c>
      <c r="L56" s="35">
        <f t="shared" ca="1" si="7"/>
        <v>0</v>
      </c>
      <c r="M56" s="44">
        <f t="shared" ca="1" si="8"/>
        <v>0</v>
      </c>
      <c r="N56" s="28">
        <f t="shared" ca="1" si="27"/>
        <v>0</v>
      </c>
      <c r="O56" s="33">
        <v>17200</v>
      </c>
      <c r="P56" s="35">
        <f t="shared" ca="1" si="28"/>
        <v>0</v>
      </c>
      <c r="Q56" s="35">
        <f t="shared" ca="1" si="10"/>
        <v>0</v>
      </c>
      <c r="R56" s="45">
        <f t="shared" ca="1" si="11"/>
        <v>0</v>
      </c>
      <c r="S56" s="86">
        <v>8032</v>
      </c>
      <c r="T56" s="86">
        <f t="shared" ca="1" si="29"/>
        <v>0</v>
      </c>
      <c r="U56" s="81">
        <f t="shared" ca="1" si="12"/>
        <v>0</v>
      </c>
      <c r="V56" s="86"/>
      <c r="W56" s="86">
        <f t="shared" ca="1" si="13"/>
        <v>0</v>
      </c>
      <c r="X56" s="80">
        <f t="shared" ca="1" si="14"/>
        <v>0</v>
      </c>
      <c r="Y56" s="62">
        <f t="shared" ca="1" si="15"/>
        <v>0</v>
      </c>
      <c r="Z56" s="35">
        <f t="shared" ca="1" si="16"/>
        <v>0</v>
      </c>
      <c r="AA56" s="38">
        <f t="shared" ca="1" si="17"/>
        <v>0</v>
      </c>
      <c r="AB56" s="38">
        <f t="shared" ca="1" si="18"/>
        <v>0</v>
      </c>
      <c r="AC56" s="38">
        <f t="shared" ca="1" si="19"/>
        <v>0</v>
      </c>
      <c r="AD56" s="48">
        <f t="shared" ca="1" si="20"/>
        <v>0</v>
      </c>
      <c r="AE56" s="28" t="str">
        <f t="shared" ca="1" si="21"/>
        <v/>
      </c>
    </row>
    <row r="57" spans="1:31">
      <c r="A57" s="28" t="s">
        <v>36</v>
      </c>
      <c r="B57" s="29" t="s">
        <v>312</v>
      </c>
      <c r="C57" s="29" t="s">
        <v>313</v>
      </c>
      <c r="D57" s="26" t="s">
        <v>174</v>
      </c>
      <c r="E57" s="28">
        <f t="shared" ca="1" si="24"/>
        <v>0</v>
      </c>
      <c r="F57" s="33">
        <v>17200</v>
      </c>
      <c r="G57" s="35">
        <f t="shared" ca="1" si="25"/>
        <v>0</v>
      </c>
      <c r="H57" s="35">
        <f t="shared" ca="1" si="5"/>
        <v>0</v>
      </c>
      <c r="I57" s="44">
        <f t="shared" ca="1" si="6"/>
        <v>0</v>
      </c>
      <c r="J57" s="33">
        <v>4300</v>
      </c>
      <c r="K57" s="35">
        <f t="shared" ca="1" si="26"/>
        <v>0</v>
      </c>
      <c r="L57" s="35">
        <f t="shared" ca="1" si="7"/>
        <v>0</v>
      </c>
      <c r="M57" s="44">
        <f t="shared" ca="1" si="8"/>
        <v>0</v>
      </c>
      <c r="N57" s="28">
        <f t="shared" ca="1" si="27"/>
        <v>0</v>
      </c>
      <c r="O57" s="33">
        <v>17200</v>
      </c>
      <c r="P57" s="35">
        <f t="shared" ca="1" si="28"/>
        <v>0</v>
      </c>
      <c r="Q57" s="35">
        <f t="shared" ca="1" si="10"/>
        <v>0</v>
      </c>
      <c r="R57" s="45">
        <f t="shared" ca="1" si="11"/>
        <v>0</v>
      </c>
      <c r="S57" s="86">
        <v>8032</v>
      </c>
      <c r="T57" s="86">
        <f t="shared" ca="1" si="29"/>
        <v>0</v>
      </c>
      <c r="U57" s="81">
        <f t="shared" ca="1" si="12"/>
        <v>0</v>
      </c>
      <c r="V57" s="86"/>
      <c r="W57" s="86">
        <f t="shared" ca="1" si="13"/>
        <v>0</v>
      </c>
      <c r="X57" s="80">
        <f t="shared" ca="1" si="14"/>
        <v>0</v>
      </c>
      <c r="Y57" s="62">
        <f t="shared" ca="1" si="15"/>
        <v>0</v>
      </c>
      <c r="Z57" s="35">
        <f t="shared" ca="1" si="16"/>
        <v>0</v>
      </c>
      <c r="AA57" s="38">
        <f t="shared" ca="1" si="17"/>
        <v>0</v>
      </c>
      <c r="AB57" s="38">
        <f t="shared" ca="1" si="18"/>
        <v>0</v>
      </c>
      <c r="AC57" s="38">
        <f t="shared" ca="1" si="19"/>
        <v>0</v>
      </c>
      <c r="AD57" s="48">
        <f t="shared" ca="1" si="20"/>
        <v>0</v>
      </c>
      <c r="AE57" s="28" t="str">
        <f t="shared" ca="1" si="21"/>
        <v/>
      </c>
    </row>
    <row r="58" spans="1:31">
      <c r="A58" s="28" t="s">
        <v>36</v>
      </c>
      <c r="B58" s="29" t="s">
        <v>314</v>
      </c>
      <c r="C58" s="29" t="s">
        <v>315</v>
      </c>
      <c r="D58" s="26" t="s">
        <v>175</v>
      </c>
      <c r="E58" s="28">
        <f t="shared" ca="1" si="24"/>
        <v>0</v>
      </c>
      <c r="F58" s="33">
        <v>17200</v>
      </c>
      <c r="G58" s="35">
        <f t="shared" ca="1" si="25"/>
        <v>0</v>
      </c>
      <c r="H58" s="35">
        <f t="shared" ca="1" si="5"/>
        <v>0</v>
      </c>
      <c r="I58" s="44">
        <f t="shared" ca="1" si="6"/>
        <v>0</v>
      </c>
      <c r="J58" s="33">
        <v>4300</v>
      </c>
      <c r="K58" s="35">
        <f t="shared" ca="1" si="26"/>
        <v>0</v>
      </c>
      <c r="L58" s="35">
        <f t="shared" ca="1" si="7"/>
        <v>0</v>
      </c>
      <c r="M58" s="44">
        <f t="shared" ca="1" si="8"/>
        <v>0</v>
      </c>
      <c r="N58" s="28">
        <f t="shared" ca="1" si="27"/>
        <v>0</v>
      </c>
      <c r="O58" s="33">
        <v>17200</v>
      </c>
      <c r="P58" s="35">
        <f t="shared" ca="1" si="28"/>
        <v>0</v>
      </c>
      <c r="Q58" s="35">
        <f t="shared" ca="1" si="10"/>
        <v>0</v>
      </c>
      <c r="R58" s="45">
        <f t="shared" ca="1" si="11"/>
        <v>0</v>
      </c>
      <c r="S58" s="86">
        <v>8032</v>
      </c>
      <c r="T58" s="86">
        <f t="shared" ca="1" si="29"/>
        <v>0</v>
      </c>
      <c r="U58" s="81">
        <f t="shared" ca="1" si="12"/>
        <v>0</v>
      </c>
      <c r="V58" s="86"/>
      <c r="W58" s="86">
        <f t="shared" ca="1" si="13"/>
        <v>0</v>
      </c>
      <c r="X58" s="80">
        <f t="shared" ca="1" si="14"/>
        <v>0</v>
      </c>
      <c r="Y58" s="62">
        <f t="shared" ca="1" si="15"/>
        <v>0</v>
      </c>
      <c r="Z58" s="35">
        <f t="shared" ca="1" si="16"/>
        <v>0</v>
      </c>
      <c r="AA58" s="38">
        <f t="shared" ca="1" si="17"/>
        <v>0</v>
      </c>
      <c r="AB58" s="38">
        <f t="shared" ca="1" si="18"/>
        <v>0</v>
      </c>
      <c r="AC58" s="38">
        <f t="shared" ca="1" si="19"/>
        <v>0</v>
      </c>
      <c r="AD58" s="48">
        <f t="shared" ca="1" si="20"/>
        <v>0</v>
      </c>
      <c r="AE58" s="28" t="str">
        <f t="shared" ca="1" si="21"/>
        <v/>
      </c>
    </row>
    <row r="59" spans="1:31">
      <c r="A59" s="28" t="s">
        <v>36</v>
      </c>
      <c r="B59" s="29" t="s">
        <v>316</v>
      </c>
      <c r="C59" s="29" t="s">
        <v>317</v>
      </c>
      <c r="D59" s="26" t="s">
        <v>176</v>
      </c>
      <c r="E59" s="28">
        <f t="shared" ca="1" si="24"/>
        <v>0</v>
      </c>
      <c r="F59" s="33">
        <v>17200</v>
      </c>
      <c r="G59" s="35">
        <f t="shared" ca="1" si="25"/>
        <v>0</v>
      </c>
      <c r="H59" s="35">
        <f t="shared" ca="1" si="5"/>
        <v>0</v>
      </c>
      <c r="I59" s="44">
        <f t="shared" ca="1" si="6"/>
        <v>0</v>
      </c>
      <c r="J59" s="33">
        <v>4300</v>
      </c>
      <c r="K59" s="35">
        <f t="shared" ca="1" si="26"/>
        <v>0</v>
      </c>
      <c r="L59" s="35">
        <f t="shared" ca="1" si="7"/>
        <v>0</v>
      </c>
      <c r="M59" s="44">
        <f t="shared" ca="1" si="8"/>
        <v>0</v>
      </c>
      <c r="N59" s="28">
        <f t="shared" ca="1" si="27"/>
        <v>0</v>
      </c>
      <c r="O59" s="33">
        <v>17200</v>
      </c>
      <c r="P59" s="35">
        <f t="shared" ca="1" si="28"/>
        <v>0</v>
      </c>
      <c r="Q59" s="35">
        <f t="shared" ca="1" si="10"/>
        <v>0</v>
      </c>
      <c r="R59" s="45">
        <f t="shared" ca="1" si="11"/>
        <v>0</v>
      </c>
      <c r="S59" s="86">
        <v>8032</v>
      </c>
      <c r="T59" s="86">
        <f t="shared" ca="1" si="29"/>
        <v>0</v>
      </c>
      <c r="U59" s="81">
        <f t="shared" ca="1" si="12"/>
        <v>0</v>
      </c>
      <c r="V59" s="86"/>
      <c r="W59" s="86">
        <f t="shared" ca="1" si="13"/>
        <v>0</v>
      </c>
      <c r="X59" s="80">
        <f t="shared" ca="1" si="14"/>
        <v>0</v>
      </c>
      <c r="Y59" s="62">
        <f t="shared" ca="1" si="15"/>
        <v>0</v>
      </c>
      <c r="Z59" s="35">
        <f t="shared" ca="1" si="16"/>
        <v>0</v>
      </c>
      <c r="AA59" s="38">
        <f t="shared" ca="1" si="17"/>
        <v>0</v>
      </c>
      <c r="AB59" s="38">
        <f t="shared" ca="1" si="18"/>
        <v>0</v>
      </c>
      <c r="AC59" s="38">
        <f t="shared" ca="1" si="19"/>
        <v>0</v>
      </c>
      <c r="AD59" s="48">
        <f t="shared" ca="1" si="20"/>
        <v>0</v>
      </c>
      <c r="AE59" s="28" t="str">
        <f t="shared" ca="1" si="21"/>
        <v/>
      </c>
    </row>
    <row r="60" spans="1:31">
      <c r="A60" s="28" t="s">
        <v>36</v>
      </c>
      <c r="B60" s="29" t="s">
        <v>318</v>
      </c>
      <c r="C60" s="29" t="s">
        <v>319</v>
      </c>
      <c r="D60" s="26" t="s">
        <v>177</v>
      </c>
      <c r="E60" s="28">
        <f t="shared" ca="1" si="24"/>
        <v>0</v>
      </c>
      <c r="F60" s="33">
        <v>17200</v>
      </c>
      <c r="G60" s="35">
        <f t="shared" ca="1" si="25"/>
        <v>0</v>
      </c>
      <c r="H60" s="35">
        <f t="shared" ca="1" si="5"/>
        <v>0</v>
      </c>
      <c r="I60" s="44">
        <f t="shared" ca="1" si="6"/>
        <v>0</v>
      </c>
      <c r="J60" s="33">
        <v>4300</v>
      </c>
      <c r="K60" s="35">
        <f t="shared" ca="1" si="26"/>
        <v>0</v>
      </c>
      <c r="L60" s="35">
        <f t="shared" ca="1" si="7"/>
        <v>0</v>
      </c>
      <c r="M60" s="44">
        <f t="shared" ca="1" si="8"/>
        <v>0</v>
      </c>
      <c r="N60" s="28">
        <f t="shared" ca="1" si="27"/>
        <v>0</v>
      </c>
      <c r="O60" s="33">
        <v>17200</v>
      </c>
      <c r="P60" s="35">
        <f t="shared" ca="1" si="28"/>
        <v>0</v>
      </c>
      <c r="Q60" s="35">
        <f t="shared" ca="1" si="10"/>
        <v>0</v>
      </c>
      <c r="R60" s="45">
        <f t="shared" ca="1" si="11"/>
        <v>0</v>
      </c>
      <c r="S60" s="86">
        <v>8032</v>
      </c>
      <c r="T60" s="86">
        <f t="shared" ca="1" si="29"/>
        <v>0</v>
      </c>
      <c r="U60" s="81">
        <f t="shared" ca="1" si="12"/>
        <v>0</v>
      </c>
      <c r="V60" s="86"/>
      <c r="W60" s="86">
        <f t="shared" ca="1" si="13"/>
        <v>0</v>
      </c>
      <c r="X60" s="80">
        <f t="shared" ca="1" si="14"/>
        <v>0</v>
      </c>
      <c r="Y60" s="62">
        <f t="shared" ca="1" si="15"/>
        <v>0</v>
      </c>
      <c r="Z60" s="35">
        <f t="shared" ca="1" si="16"/>
        <v>0</v>
      </c>
      <c r="AA60" s="38">
        <f t="shared" ca="1" si="17"/>
        <v>0</v>
      </c>
      <c r="AB60" s="38">
        <f t="shared" ca="1" si="18"/>
        <v>0</v>
      </c>
      <c r="AC60" s="38">
        <f t="shared" ca="1" si="19"/>
        <v>0</v>
      </c>
      <c r="AD60" s="48">
        <f t="shared" ca="1" si="20"/>
        <v>0</v>
      </c>
      <c r="AE60" s="28" t="str">
        <f t="shared" ca="1" si="21"/>
        <v/>
      </c>
    </row>
    <row r="61" spans="1:31">
      <c r="A61" s="28" t="s">
        <v>36</v>
      </c>
      <c r="B61" s="29" t="s">
        <v>320</v>
      </c>
      <c r="C61" s="29" t="s">
        <v>321</v>
      </c>
      <c r="D61" s="26" t="s">
        <v>178</v>
      </c>
      <c r="E61" s="28">
        <f t="shared" ca="1" si="24"/>
        <v>0</v>
      </c>
      <c r="F61" s="33">
        <v>17200</v>
      </c>
      <c r="G61" s="35">
        <f t="shared" ca="1" si="25"/>
        <v>0</v>
      </c>
      <c r="H61" s="35">
        <f t="shared" ca="1" si="5"/>
        <v>0</v>
      </c>
      <c r="I61" s="44">
        <f t="shared" ca="1" si="6"/>
        <v>0</v>
      </c>
      <c r="J61" s="33">
        <v>4300</v>
      </c>
      <c r="K61" s="35">
        <f t="shared" ca="1" si="26"/>
        <v>0</v>
      </c>
      <c r="L61" s="35">
        <f t="shared" ca="1" si="7"/>
        <v>0</v>
      </c>
      <c r="M61" s="44">
        <f t="shared" ca="1" si="8"/>
        <v>0</v>
      </c>
      <c r="N61" s="28">
        <f t="shared" ca="1" si="27"/>
        <v>0</v>
      </c>
      <c r="O61" s="33">
        <v>17200</v>
      </c>
      <c r="P61" s="35">
        <f t="shared" ca="1" si="28"/>
        <v>0</v>
      </c>
      <c r="Q61" s="35">
        <f t="shared" ca="1" si="10"/>
        <v>0</v>
      </c>
      <c r="R61" s="45">
        <f t="shared" ca="1" si="11"/>
        <v>0</v>
      </c>
      <c r="S61" s="86">
        <v>8032</v>
      </c>
      <c r="T61" s="86">
        <f t="shared" ca="1" si="29"/>
        <v>0</v>
      </c>
      <c r="U61" s="81">
        <f t="shared" ca="1" si="12"/>
        <v>0</v>
      </c>
      <c r="V61" s="86"/>
      <c r="W61" s="86">
        <f t="shared" ca="1" si="13"/>
        <v>0</v>
      </c>
      <c r="X61" s="80">
        <f t="shared" ca="1" si="14"/>
        <v>0</v>
      </c>
      <c r="Y61" s="62">
        <f t="shared" ca="1" si="15"/>
        <v>0</v>
      </c>
      <c r="Z61" s="35">
        <f t="shared" ca="1" si="16"/>
        <v>0</v>
      </c>
      <c r="AA61" s="38">
        <f t="shared" ca="1" si="17"/>
        <v>0</v>
      </c>
      <c r="AB61" s="38">
        <f t="shared" ca="1" si="18"/>
        <v>0</v>
      </c>
      <c r="AC61" s="38">
        <f t="shared" ca="1" si="19"/>
        <v>0</v>
      </c>
      <c r="AD61" s="48">
        <f t="shared" ca="1" si="20"/>
        <v>0</v>
      </c>
      <c r="AE61" s="28" t="str">
        <f t="shared" ca="1" si="21"/>
        <v/>
      </c>
    </row>
    <row r="62" spans="1:31">
      <c r="A62" s="28" t="s">
        <v>36</v>
      </c>
      <c r="B62" s="29" t="s">
        <v>322</v>
      </c>
      <c r="C62" s="29" t="s">
        <v>323</v>
      </c>
      <c r="D62" s="26" t="s">
        <v>179</v>
      </c>
      <c r="E62" s="28">
        <f t="shared" ca="1" si="24"/>
        <v>0</v>
      </c>
      <c r="F62" s="33">
        <v>17200</v>
      </c>
      <c r="G62" s="35">
        <f t="shared" ca="1" si="25"/>
        <v>0</v>
      </c>
      <c r="H62" s="35">
        <f t="shared" ca="1" si="5"/>
        <v>0</v>
      </c>
      <c r="I62" s="44">
        <f t="shared" ca="1" si="6"/>
        <v>0</v>
      </c>
      <c r="J62" s="33">
        <v>4300</v>
      </c>
      <c r="K62" s="35">
        <f t="shared" ca="1" si="26"/>
        <v>0</v>
      </c>
      <c r="L62" s="35">
        <f t="shared" ca="1" si="7"/>
        <v>0</v>
      </c>
      <c r="M62" s="44">
        <f t="shared" ca="1" si="8"/>
        <v>0</v>
      </c>
      <c r="N62" s="28">
        <f t="shared" ca="1" si="27"/>
        <v>0</v>
      </c>
      <c r="O62" s="33">
        <v>17200</v>
      </c>
      <c r="P62" s="35">
        <f t="shared" ca="1" si="28"/>
        <v>0</v>
      </c>
      <c r="Q62" s="35">
        <f t="shared" ca="1" si="10"/>
        <v>0</v>
      </c>
      <c r="R62" s="45">
        <f t="shared" ca="1" si="11"/>
        <v>0</v>
      </c>
      <c r="S62" s="86">
        <v>8032</v>
      </c>
      <c r="T62" s="86">
        <f t="shared" ca="1" si="29"/>
        <v>0</v>
      </c>
      <c r="U62" s="81">
        <f t="shared" ca="1" si="12"/>
        <v>0</v>
      </c>
      <c r="V62" s="86"/>
      <c r="W62" s="86">
        <f t="shared" ca="1" si="13"/>
        <v>0</v>
      </c>
      <c r="X62" s="80">
        <f t="shared" ca="1" si="14"/>
        <v>0</v>
      </c>
      <c r="Y62" s="62">
        <f t="shared" ca="1" si="15"/>
        <v>0</v>
      </c>
      <c r="Z62" s="35">
        <f t="shared" ca="1" si="16"/>
        <v>0</v>
      </c>
      <c r="AA62" s="38">
        <f t="shared" ca="1" si="17"/>
        <v>0</v>
      </c>
      <c r="AB62" s="38">
        <f t="shared" ca="1" si="18"/>
        <v>0</v>
      </c>
      <c r="AC62" s="38">
        <f t="shared" ca="1" si="19"/>
        <v>0</v>
      </c>
      <c r="AD62" s="48">
        <f t="shared" ca="1" si="20"/>
        <v>0</v>
      </c>
      <c r="AE62" s="28" t="str">
        <f t="shared" ca="1" si="21"/>
        <v/>
      </c>
    </row>
    <row r="63" spans="1:31">
      <c r="A63" s="28" t="s">
        <v>36</v>
      </c>
      <c r="B63" s="29" t="s">
        <v>324</v>
      </c>
      <c r="C63" s="29" t="s">
        <v>325</v>
      </c>
      <c r="D63" s="26" t="s">
        <v>180</v>
      </c>
      <c r="E63" s="28">
        <f t="shared" ca="1" si="24"/>
        <v>0</v>
      </c>
      <c r="F63" s="33">
        <v>17200</v>
      </c>
      <c r="G63" s="35">
        <f t="shared" ca="1" si="25"/>
        <v>0</v>
      </c>
      <c r="H63" s="35">
        <f t="shared" ca="1" si="5"/>
        <v>0</v>
      </c>
      <c r="I63" s="44">
        <f t="shared" ca="1" si="6"/>
        <v>0</v>
      </c>
      <c r="J63" s="33">
        <v>4300</v>
      </c>
      <c r="K63" s="35">
        <f t="shared" ca="1" si="26"/>
        <v>0</v>
      </c>
      <c r="L63" s="35">
        <f t="shared" ca="1" si="7"/>
        <v>0</v>
      </c>
      <c r="M63" s="44">
        <f t="shared" ca="1" si="8"/>
        <v>0</v>
      </c>
      <c r="N63" s="28">
        <f t="shared" ca="1" si="27"/>
        <v>0</v>
      </c>
      <c r="O63" s="33">
        <v>17200</v>
      </c>
      <c r="P63" s="35">
        <f t="shared" ca="1" si="28"/>
        <v>0</v>
      </c>
      <c r="Q63" s="35">
        <f t="shared" ca="1" si="10"/>
        <v>0</v>
      </c>
      <c r="R63" s="45">
        <f t="shared" ca="1" si="11"/>
        <v>0</v>
      </c>
      <c r="S63" s="86">
        <v>8032</v>
      </c>
      <c r="T63" s="86">
        <f t="shared" ca="1" si="29"/>
        <v>0</v>
      </c>
      <c r="U63" s="81">
        <f t="shared" ca="1" si="12"/>
        <v>0</v>
      </c>
      <c r="V63" s="86"/>
      <c r="W63" s="86">
        <f t="shared" ca="1" si="13"/>
        <v>0</v>
      </c>
      <c r="X63" s="80">
        <f t="shared" ca="1" si="14"/>
        <v>0</v>
      </c>
      <c r="Y63" s="62">
        <f t="shared" ca="1" si="15"/>
        <v>0</v>
      </c>
      <c r="Z63" s="35">
        <f t="shared" ca="1" si="16"/>
        <v>0</v>
      </c>
      <c r="AA63" s="38">
        <f t="shared" ca="1" si="17"/>
        <v>0</v>
      </c>
      <c r="AB63" s="38">
        <f t="shared" ca="1" si="18"/>
        <v>0</v>
      </c>
      <c r="AC63" s="38">
        <f t="shared" ca="1" si="19"/>
        <v>0</v>
      </c>
      <c r="AD63" s="48">
        <f t="shared" ca="1" si="20"/>
        <v>0</v>
      </c>
      <c r="AE63" s="28" t="str">
        <f t="shared" ca="1" si="21"/>
        <v/>
      </c>
    </row>
    <row r="64" spans="1:31">
      <c r="A64" s="28" t="s">
        <v>36</v>
      </c>
      <c r="B64" s="29" t="s">
        <v>326</v>
      </c>
      <c r="C64" s="29" t="s">
        <v>327</v>
      </c>
      <c r="D64" s="26" t="s">
        <v>181</v>
      </c>
      <c r="E64" s="28">
        <f t="shared" ca="1" si="24"/>
        <v>0</v>
      </c>
      <c r="F64" s="33">
        <v>17200</v>
      </c>
      <c r="G64" s="35">
        <f t="shared" ca="1" si="25"/>
        <v>0</v>
      </c>
      <c r="H64" s="35">
        <f t="shared" ca="1" si="5"/>
        <v>0</v>
      </c>
      <c r="I64" s="44">
        <f t="shared" ca="1" si="6"/>
        <v>0</v>
      </c>
      <c r="J64" s="33">
        <v>4300</v>
      </c>
      <c r="K64" s="35">
        <f t="shared" ca="1" si="26"/>
        <v>0</v>
      </c>
      <c r="L64" s="35">
        <f t="shared" ca="1" si="7"/>
        <v>0</v>
      </c>
      <c r="M64" s="44">
        <f t="shared" ca="1" si="8"/>
        <v>0</v>
      </c>
      <c r="N64" s="28">
        <f t="shared" ca="1" si="27"/>
        <v>0</v>
      </c>
      <c r="O64" s="33">
        <v>17200</v>
      </c>
      <c r="P64" s="35">
        <f t="shared" ca="1" si="28"/>
        <v>0</v>
      </c>
      <c r="Q64" s="35">
        <f t="shared" ca="1" si="10"/>
        <v>0</v>
      </c>
      <c r="R64" s="45">
        <f t="shared" ca="1" si="11"/>
        <v>0</v>
      </c>
      <c r="S64" s="86">
        <v>8032</v>
      </c>
      <c r="T64" s="86">
        <f t="shared" ca="1" si="29"/>
        <v>0</v>
      </c>
      <c r="U64" s="81">
        <f t="shared" ca="1" si="12"/>
        <v>0</v>
      </c>
      <c r="V64" s="86"/>
      <c r="W64" s="86">
        <f t="shared" ca="1" si="13"/>
        <v>0</v>
      </c>
      <c r="X64" s="80">
        <f t="shared" ca="1" si="14"/>
        <v>0</v>
      </c>
      <c r="Y64" s="62">
        <f t="shared" ca="1" si="15"/>
        <v>0</v>
      </c>
      <c r="Z64" s="35">
        <f t="shared" ca="1" si="16"/>
        <v>0</v>
      </c>
      <c r="AA64" s="38">
        <f t="shared" ca="1" si="17"/>
        <v>0</v>
      </c>
      <c r="AB64" s="38">
        <f t="shared" ca="1" si="18"/>
        <v>0</v>
      </c>
      <c r="AC64" s="38">
        <f t="shared" ca="1" si="19"/>
        <v>0</v>
      </c>
      <c r="AD64" s="48">
        <f t="shared" ca="1" si="20"/>
        <v>0</v>
      </c>
      <c r="AE64" s="28" t="str">
        <f t="shared" ca="1" si="21"/>
        <v/>
      </c>
    </row>
    <row r="65" spans="1:31">
      <c r="A65" s="28" t="s">
        <v>36</v>
      </c>
      <c r="B65" s="29" t="s">
        <v>328</v>
      </c>
      <c r="C65" s="29" t="s">
        <v>329</v>
      </c>
      <c r="D65" s="26" t="s">
        <v>182</v>
      </c>
      <c r="E65" s="28">
        <f t="shared" ca="1" si="24"/>
        <v>0</v>
      </c>
      <c r="F65" s="33">
        <v>17200</v>
      </c>
      <c r="G65" s="35">
        <f t="shared" ca="1" si="25"/>
        <v>0</v>
      </c>
      <c r="H65" s="35">
        <f t="shared" ca="1" si="5"/>
        <v>0</v>
      </c>
      <c r="I65" s="44">
        <f t="shared" ca="1" si="6"/>
        <v>0</v>
      </c>
      <c r="J65" s="33">
        <v>4300</v>
      </c>
      <c r="K65" s="35">
        <f t="shared" ca="1" si="26"/>
        <v>0</v>
      </c>
      <c r="L65" s="35">
        <f t="shared" ca="1" si="7"/>
        <v>0</v>
      </c>
      <c r="M65" s="44">
        <f t="shared" ca="1" si="8"/>
        <v>0</v>
      </c>
      <c r="N65" s="28">
        <f t="shared" ca="1" si="27"/>
        <v>0</v>
      </c>
      <c r="O65" s="33">
        <v>17200</v>
      </c>
      <c r="P65" s="35">
        <f t="shared" ca="1" si="28"/>
        <v>0</v>
      </c>
      <c r="Q65" s="35">
        <f t="shared" ca="1" si="10"/>
        <v>0</v>
      </c>
      <c r="R65" s="45">
        <f t="shared" ca="1" si="11"/>
        <v>0</v>
      </c>
      <c r="S65" s="86">
        <v>8032</v>
      </c>
      <c r="T65" s="86">
        <f t="shared" ca="1" si="29"/>
        <v>0</v>
      </c>
      <c r="U65" s="81">
        <f t="shared" ca="1" si="12"/>
        <v>0</v>
      </c>
      <c r="V65" s="86"/>
      <c r="W65" s="86">
        <f t="shared" ca="1" si="13"/>
        <v>0</v>
      </c>
      <c r="X65" s="80">
        <f t="shared" ca="1" si="14"/>
        <v>0</v>
      </c>
      <c r="Y65" s="62">
        <f t="shared" ca="1" si="15"/>
        <v>0</v>
      </c>
      <c r="Z65" s="35">
        <f t="shared" ca="1" si="16"/>
        <v>0</v>
      </c>
      <c r="AA65" s="38">
        <f t="shared" ca="1" si="17"/>
        <v>0</v>
      </c>
      <c r="AB65" s="38">
        <f t="shared" ca="1" si="18"/>
        <v>0</v>
      </c>
      <c r="AC65" s="38">
        <f t="shared" ca="1" si="19"/>
        <v>0</v>
      </c>
      <c r="AD65" s="48">
        <f t="shared" ca="1" si="20"/>
        <v>0</v>
      </c>
      <c r="AE65" s="28" t="str">
        <f t="shared" ca="1" si="21"/>
        <v/>
      </c>
    </row>
    <row r="66" spans="1:31">
      <c r="A66" s="28" t="s">
        <v>36</v>
      </c>
      <c r="B66" s="29" t="s">
        <v>330</v>
      </c>
      <c r="C66" s="29" t="s">
        <v>331</v>
      </c>
      <c r="D66" s="26" t="s">
        <v>183</v>
      </c>
      <c r="E66" s="28">
        <f t="shared" ca="1" si="24"/>
        <v>0</v>
      </c>
      <c r="F66" s="33">
        <v>17200</v>
      </c>
      <c r="G66" s="35">
        <f t="shared" ca="1" si="25"/>
        <v>0</v>
      </c>
      <c r="H66" s="35">
        <f t="shared" ca="1" si="5"/>
        <v>0</v>
      </c>
      <c r="I66" s="44">
        <f t="shared" ca="1" si="6"/>
        <v>0</v>
      </c>
      <c r="J66" s="33">
        <v>4300</v>
      </c>
      <c r="K66" s="35">
        <f t="shared" ca="1" si="26"/>
        <v>0</v>
      </c>
      <c r="L66" s="35">
        <f t="shared" ca="1" si="7"/>
        <v>0</v>
      </c>
      <c r="M66" s="44">
        <f t="shared" ca="1" si="8"/>
        <v>0</v>
      </c>
      <c r="N66" s="28">
        <f t="shared" ca="1" si="27"/>
        <v>0</v>
      </c>
      <c r="O66" s="33">
        <v>17200</v>
      </c>
      <c r="P66" s="35">
        <f t="shared" ca="1" si="28"/>
        <v>0</v>
      </c>
      <c r="Q66" s="35">
        <f t="shared" ca="1" si="10"/>
        <v>0</v>
      </c>
      <c r="R66" s="45">
        <f t="shared" ca="1" si="11"/>
        <v>0</v>
      </c>
      <c r="S66" s="86">
        <v>8032</v>
      </c>
      <c r="T66" s="86">
        <f t="shared" ca="1" si="29"/>
        <v>0</v>
      </c>
      <c r="U66" s="81">
        <f t="shared" ca="1" si="12"/>
        <v>0</v>
      </c>
      <c r="V66" s="86"/>
      <c r="W66" s="86">
        <f t="shared" ca="1" si="13"/>
        <v>0</v>
      </c>
      <c r="X66" s="80">
        <f t="shared" ca="1" si="14"/>
        <v>0</v>
      </c>
      <c r="Y66" s="62">
        <f t="shared" ca="1" si="15"/>
        <v>0</v>
      </c>
      <c r="Z66" s="35">
        <f t="shared" ca="1" si="16"/>
        <v>0</v>
      </c>
      <c r="AA66" s="38">
        <f t="shared" ca="1" si="17"/>
        <v>0</v>
      </c>
      <c r="AB66" s="38">
        <f t="shared" ca="1" si="18"/>
        <v>0</v>
      </c>
      <c r="AC66" s="38">
        <f t="shared" ca="1" si="19"/>
        <v>0</v>
      </c>
      <c r="AD66" s="48">
        <f t="shared" ca="1" si="20"/>
        <v>0</v>
      </c>
      <c r="AE66" s="28" t="str">
        <f t="shared" ca="1" si="21"/>
        <v/>
      </c>
    </row>
    <row r="67" spans="1:31">
      <c r="A67" s="28" t="s">
        <v>36</v>
      </c>
      <c r="B67" s="29" t="s">
        <v>332</v>
      </c>
      <c r="C67" s="29" t="s">
        <v>333</v>
      </c>
      <c r="D67" s="26" t="s">
        <v>184</v>
      </c>
      <c r="E67" s="28">
        <f t="shared" ca="1" si="24"/>
        <v>0</v>
      </c>
      <c r="F67" s="33">
        <v>17200</v>
      </c>
      <c r="G67" s="35">
        <f t="shared" ca="1" si="25"/>
        <v>0</v>
      </c>
      <c r="H67" s="35">
        <f t="shared" ca="1" si="5"/>
        <v>0</v>
      </c>
      <c r="I67" s="44">
        <f t="shared" ca="1" si="6"/>
        <v>0</v>
      </c>
      <c r="J67" s="33">
        <v>4300</v>
      </c>
      <c r="K67" s="35">
        <f t="shared" ca="1" si="26"/>
        <v>0</v>
      </c>
      <c r="L67" s="35">
        <f t="shared" ca="1" si="7"/>
        <v>0</v>
      </c>
      <c r="M67" s="44">
        <f t="shared" ca="1" si="8"/>
        <v>0</v>
      </c>
      <c r="N67" s="28">
        <f t="shared" ca="1" si="27"/>
        <v>0</v>
      </c>
      <c r="O67" s="33">
        <v>17200</v>
      </c>
      <c r="P67" s="35">
        <f t="shared" ca="1" si="28"/>
        <v>0</v>
      </c>
      <c r="Q67" s="35">
        <f t="shared" ca="1" si="10"/>
        <v>0</v>
      </c>
      <c r="R67" s="45">
        <f t="shared" ca="1" si="11"/>
        <v>0</v>
      </c>
      <c r="S67" s="86">
        <v>8032</v>
      </c>
      <c r="T67" s="86">
        <f t="shared" ca="1" si="29"/>
        <v>0</v>
      </c>
      <c r="U67" s="81">
        <f t="shared" ca="1" si="12"/>
        <v>0</v>
      </c>
      <c r="V67" s="86"/>
      <c r="W67" s="86">
        <f t="shared" ca="1" si="13"/>
        <v>0</v>
      </c>
      <c r="X67" s="80">
        <f t="shared" ca="1" si="14"/>
        <v>0</v>
      </c>
      <c r="Y67" s="62">
        <f t="shared" ca="1" si="15"/>
        <v>0</v>
      </c>
      <c r="Z67" s="35">
        <f t="shared" ca="1" si="16"/>
        <v>0</v>
      </c>
      <c r="AA67" s="38">
        <f t="shared" ca="1" si="17"/>
        <v>0</v>
      </c>
      <c r="AB67" s="38">
        <f t="shared" ca="1" si="18"/>
        <v>0</v>
      </c>
      <c r="AC67" s="38">
        <f t="shared" ca="1" si="19"/>
        <v>0</v>
      </c>
      <c r="AD67" s="48">
        <f t="shared" ca="1" si="20"/>
        <v>0</v>
      </c>
      <c r="AE67" s="28" t="str">
        <f t="shared" ca="1" si="21"/>
        <v/>
      </c>
    </row>
    <row r="68" spans="1:31">
      <c r="A68" s="28" t="s">
        <v>36</v>
      </c>
      <c r="B68" s="29" t="s">
        <v>334</v>
      </c>
      <c r="C68" s="29" t="s">
        <v>335</v>
      </c>
      <c r="D68" s="26" t="s">
        <v>185</v>
      </c>
      <c r="E68" s="28">
        <f t="shared" ca="1" si="24"/>
        <v>0</v>
      </c>
      <c r="F68" s="33">
        <v>17200</v>
      </c>
      <c r="G68" s="35">
        <f t="shared" ca="1" si="25"/>
        <v>0</v>
      </c>
      <c r="H68" s="35">
        <f t="shared" ca="1" si="5"/>
        <v>0</v>
      </c>
      <c r="I68" s="44">
        <f t="shared" ca="1" si="6"/>
        <v>0</v>
      </c>
      <c r="J68" s="33">
        <v>4300</v>
      </c>
      <c r="K68" s="35">
        <f t="shared" ca="1" si="26"/>
        <v>0</v>
      </c>
      <c r="L68" s="35">
        <f t="shared" ca="1" si="7"/>
        <v>0</v>
      </c>
      <c r="M68" s="44">
        <f t="shared" ca="1" si="8"/>
        <v>0</v>
      </c>
      <c r="N68" s="28">
        <f t="shared" ca="1" si="27"/>
        <v>0</v>
      </c>
      <c r="O68" s="33">
        <v>17200</v>
      </c>
      <c r="P68" s="35">
        <f t="shared" ca="1" si="28"/>
        <v>0</v>
      </c>
      <c r="Q68" s="35">
        <f t="shared" ca="1" si="10"/>
        <v>0</v>
      </c>
      <c r="R68" s="45">
        <f t="shared" ca="1" si="11"/>
        <v>0</v>
      </c>
      <c r="S68" s="86">
        <v>8032</v>
      </c>
      <c r="T68" s="86">
        <f t="shared" ca="1" si="29"/>
        <v>0</v>
      </c>
      <c r="U68" s="81">
        <f t="shared" ca="1" si="12"/>
        <v>0</v>
      </c>
      <c r="V68" s="86"/>
      <c r="W68" s="86">
        <f t="shared" ca="1" si="13"/>
        <v>0</v>
      </c>
      <c r="X68" s="80">
        <f t="shared" ca="1" si="14"/>
        <v>0</v>
      </c>
      <c r="Y68" s="62">
        <f t="shared" ca="1" si="15"/>
        <v>0</v>
      </c>
      <c r="Z68" s="35">
        <f t="shared" ca="1" si="16"/>
        <v>0</v>
      </c>
      <c r="AA68" s="38">
        <f t="shared" ca="1" si="17"/>
        <v>0</v>
      </c>
      <c r="AB68" s="38">
        <f t="shared" ca="1" si="18"/>
        <v>0</v>
      </c>
      <c r="AC68" s="38">
        <f t="shared" ca="1" si="19"/>
        <v>0</v>
      </c>
      <c r="AD68" s="48">
        <f t="shared" ca="1" si="20"/>
        <v>0</v>
      </c>
      <c r="AE68" s="28" t="str">
        <f t="shared" ca="1" si="21"/>
        <v/>
      </c>
    </row>
    <row r="69" spans="1:31">
      <c r="A69" s="28" t="s">
        <v>36</v>
      </c>
      <c r="B69" s="29" t="s">
        <v>336</v>
      </c>
      <c r="C69" s="29" t="s">
        <v>337</v>
      </c>
      <c r="D69" s="26" t="s">
        <v>186</v>
      </c>
      <c r="E69" s="28">
        <f t="shared" ref="E69:E90" ca="1" si="30">COUNTIFS(INDIRECT(台帳_A通常範囲),"&gt;0",INDIRECT(台帳_氏名範囲),$D69,INDIRECT(台帳_例月範囲),台帳_集計月)</f>
        <v>0</v>
      </c>
      <c r="F69" s="33">
        <v>17200</v>
      </c>
      <c r="G69" s="35">
        <f t="shared" ref="G69:G90" ca="1" si="31">SUMIFS(INDIRECT(台帳_A通常範囲),INDIRECT(台帳_氏名範囲),$D69,INDIRECT(台帳_例月範囲),台帳_集計月)</f>
        <v>0</v>
      </c>
      <c r="H69" s="35">
        <f t="shared" ca="1" si="5"/>
        <v>0</v>
      </c>
      <c r="I69" s="44">
        <f t="shared" ca="1" si="6"/>
        <v>0</v>
      </c>
      <c r="J69" s="33">
        <v>4300</v>
      </c>
      <c r="K69" s="35">
        <f t="shared" ref="K69:K90" ca="1" si="32">SUMIFS(INDIRECT(台帳_A深夜範囲),INDIRECT(台帳_氏名範囲),$D69,INDIRECT(台帳_例月範囲),台帳_集計月)</f>
        <v>0</v>
      </c>
      <c r="L69" s="35">
        <f t="shared" ca="1" si="7"/>
        <v>0</v>
      </c>
      <c r="M69" s="44">
        <f t="shared" ca="1" si="8"/>
        <v>0</v>
      </c>
      <c r="N69" s="28">
        <f t="shared" ref="N69:N90" ca="1" si="33">COUNTIFS(INDIRECT(台帳_B通常範囲),"&gt;0",INDIRECT(台帳_氏名範囲),$D69,INDIRECT(台帳_例月範囲),台帳_集計月)</f>
        <v>0</v>
      </c>
      <c r="O69" s="33">
        <v>17200</v>
      </c>
      <c r="P69" s="35">
        <f t="shared" ref="P69:P90" ca="1" si="34">SUMIFS(INDIRECT(台帳_B通常範囲),INDIRECT(台帳_氏名範囲),$D69,INDIRECT(台帳_例月範囲),台帳_集計月)</f>
        <v>0</v>
      </c>
      <c r="Q69" s="35">
        <f t="shared" ca="1" si="10"/>
        <v>0</v>
      </c>
      <c r="R69" s="45">
        <f t="shared" ca="1" si="11"/>
        <v>0</v>
      </c>
      <c r="S69" s="86">
        <v>8032</v>
      </c>
      <c r="T69" s="86">
        <f t="shared" ref="T69:T90" ca="1" si="35">COUNTIFS(INDIRECT(台帳_有給),"&lt;&gt;"&amp;"",INDIRECT(台帳_氏名範囲),$D69,INDIRECT(台帳_例月範囲),台帳_集計月)</f>
        <v>0</v>
      </c>
      <c r="U69" s="81">
        <f t="shared" ca="1" si="12"/>
        <v>0</v>
      </c>
      <c r="V69" s="86"/>
      <c r="W69" s="86">
        <f t="shared" ca="1" si="13"/>
        <v>0</v>
      </c>
      <c r="X69" s="80">
        <f t="shared" ca="1" si="14"/>
        <v>0</v>
      </c>
      <c r="Y69" s="62">
        <f t="shared" ca="1" si="15"/>
        <v>0</v>
      </c>
      <c r="Z69" s="35">
        <f t="shared" ca="1" si="16"/>
        <v>0</v>
      </c>
      <c r="AA69" s="38">
        <f t="shared" ca="1" si="17"/>
        <v>0</v>
      </c>
      <c r="AB69" s="38">
        <f t="shared" ca="1" si="18"/>
        <v>0</v>
      </c>
      <c r="AC69" s="38">
        <f t="shared" ca="1" si="19"/>
        <v>0</v>
      </c>
      <c r="AD69" s="48">
        <f t="shared" ca="1" si="20"/>
        <v>0</v>
      </c>
      <c r="AE69" s="28" t="str">
        <f t="shared" ca="1" si="21"/>
        <v/>
      </c>
    </row>
    <row r="70" spans="1:31">
      <c r="A70" s="28" t="s">
        <v>36</v>
      </c>
      <c r="B70" s="29" t="s">
        <v>338</v>
      </c>
      <c r="C70" s="29" t="s">
        <v>339</v>
      </c>
      <c r="D70" s="26" t="s">
        <v>187</v>
      </c>
      <c r="E70" s="28">
        <f t="shared" ca="1" si="30"/>
        <v>0</v>
      </c>
      <c r="F70" s="33">
        <v>17200</v>
      </c>
      <c r="G70" s="35">
        <f t="shared" ca="1" si="31"/>
        <v>0</v>
      </c>
      <c r="H70" s="35">
        <f t="shared" ref="H70:H90" ca="1" si="36">IF(MINUTE(G70)&lt;30,FLOOR(G70,TIME(1,0,0)),CEILING(G70,TIME(1,0,0)))</f>
        <v>0</v>
      </c>
      <c r="I70" s="44">
        <f t="shared" ref="I70:I90" ca="1" si="37">F70*H70/TIME(1,0,0)</f>
        <v>0</v>
      </c>
      <c r="J70" s="33">
        <v>4300</v>
      </c>
      <c r="K70" s="35">
        <f t="shared" ca="1" si="32"/>
        <v>0</v>
      </c>
      <c r="L70" s="35">
        <f t="shared" ref="L70:L90" ca="1" si="38">IF(MINUTE(K70)&lt;30,FLOOR(K70,TIME(1,0,0)),CEILING(K70,TIME(1,0,0)))</f>
        <v>0</v>
      </c>
      <c r="M70" s="44">
        <f t="shared" ref="M70:M90" ca="1" si="39">J70*L70/TIME(1,0,0)</f>
        <v>0</v>
      </c>
      <c r="N70" s="28">
        <f t="shared" ca="1" si="33"/>
        <v>0</v>
      </c>
      <c r="O70" s="33">
        <v>17200</v>
      </c>
      <c r="P70" s="35">
        <f t="shared" ca="1" si="34"/>
        <v>0</v>
      </c>
      <c r="Q70" s="35">
        <f t="shared" ref="Q70:Q90" ca="1" si="40">IF(MINUTE(P70)&lt;30,FLOOR(P70,TIME(1,0,0)),CEILING(P70,TIME(1,0,0)))</f>
        <v>0</v>
      </c>
      <c r="R70" s="45">
        <f t="shared" ref="R70:R90" ca="1" si="41">O70*Q70/TIME(1,0,0)</f>
        <v>0</v>
      </c>
      <c r="S70" s="86">
        <v>8032</v>
      </c>
      <c r="T70" s="86">
        <f t="shared" ca="1" si="35"/>
        <v>0</v>
      </c>
      <c r="U70" s="81">
        <f t="shared" ref="U70:U90" ca="1" si="42">ROUNDDOWN(S70*T70,0)</f>
        <v>0</v>
      </c>
      <c r="V70" s="86"/>
      <c r="W70" s="86">
        <f t="shared" ref="W70:W90" ca="1" si="43">SUM(E70,N70)</f>
        <v>0</v>
      </c>
      <c r="X70" s="80">
        <f t="shared" ref="X70:X90" ca="1" si="44">ROUNDDOWN(V70*W70,0)</f>
        <v>0</v>
      </c>
      <c r="Y70" s="62">
        <f t="shared" ref="Y70:Y89" ca="1" si="45">SUM(E70,N70,T70)</f>
        <v>0</v>
      </c>
      <c r="Z70" s="35">
        <f t="shared" ref="Z70:Z90" ca="1" si="46">SUM(H70,Q70)</f>
        <v>0</v>
      </c>
      <c r="AA70" s="38">
        <f t="shared" ref="AA70:AA90" ca="1" si="47">SUM(I70,R70,U70)</f>
        <v>0</v>
      </c>
      <c r="AB70" s="38">
        <f t="shared" ref="AB70:AB90" ca="1" si="48">M70</f>
        <v>0</v>
      </c>
      <c r="AC70" s="38">
        <f t="shared" ref="AC70:AC90" ca="1" si="49">X70</f>
        <v>0</v>
      </c>
      <c r="AD70" s="48">
        <f t="shared" ref="AD70:AD90" ca="1" si="50">SUM(AA70:AC70)</f>
        <v>0</v>
      </c>
      <c r="AE70" s="28" t="str">
        <f t="shared" ref="AE70:AE90" ca="1" si="51">IF(AA70=0,"","振込")</f>
        <v/>
      </c>
    </row>
    <row r="71" spans="1:31">
      <c r="A71" s="28" t="s">
        <v>36</v>
      </c>
      <c r="B71" s="29" t="s">
        <v>340</v>
      </c>
      <c r="C71" s="29" t="s">
        <v>341</v>
      </c>
      <c r="D71" s="26" t="s">
        <v>188</v>
      </c>
      <c r="E71" s="28">
        <f t="shared" ca="1" si="30"/>
        <v>0</v>
      </c>
      <c r="F71" s="33">
        <v>17200</v>
      </c>
      <c r="G71" s="35">
        <f t="shared" ca="1" si="31"/>
        <v>0</v>
      </c>
      <c r="H71" s="35">
        <f t="shared" ca="1" si="36"/>
        <v>0</v>
      </c>
      <c r="I71" s="44">
        <f t="shared" ca="1" si="37"/>
        <v>0</v>
      </c>
      <c r="J71" s="33">
        <v>4300</v>
      </c>
      <c r="K71" s="35">
        <f t="shared" ca="1" si="32"/>
        <v>0</v>
      </c>
      <c r="L71" s="35">
        <f t="shared" ca="1" si="38"/>
        <v>0</v>
      </c>
      <c r="M71" s="44">
        <f t="shared" ca="1" si="39"/>
        <v>0</v>
      </c>
      <c r="N71" s="28">
        <f t="shared" ca="1" si="33"/>
        <v>0</v>
      </c>
      <c r="O71" s="33">
        <v>17200</v>
      </c>
      <c r="P71" s="35">
        <f t="shared" ca="1" si="34"/>
        <v>0</v>
      </c>
      <c r="Q71" s="35">
        <f t="shared" ca="1" si="40"/>
        <v>0</v>
      </c>
      <c r="R71" s="45">
        <f t="shared" ca="1" si="41"/>
        <v>0</v>
      </c>
      <c r="S71" s="86">
        <v>8032</v>
      </c>
      <c r="T71" s="86">
        <f t="shared" ca="1" si="35"/>
        <v>0</v>
      </c>
      <c r="U71" s="81">
        <f t="shared" ca="1" si="42"/>
        <v>0</v>
      </c>
      <c r="V71" s="86"/>
      <c r="W71" s="86">
        <f t="shared" ca="1" si="43"/>
        <v>0</v>
      </c>
      <c r="X71" s="80">
        <f t="shared" ca="1" si="44"/>
        <v>0</v>
      </c>
      <c r="Y71" s="62">
        <f t="shared" ca="1" si="45"/>
        <v>0</v>
      </c>
      <c r="Z71" s="35">
        <f t="shared" ca="1" si="46"/>
        <v>0</v>
      </c>
      <c r="AA71" s="38">
        <f t="shared" ca="1" si="47"/>
        <v>0</v>
      </c>
      <c r="AB71" s="38">
        <f t="shared" ca="1" si="48"/>
        <v>0</v>
      </c>
      <c r="AC71" s="38">
        <f t="shared" ca="1" si="49"/>
        <v>0</v>
      </c>
      <c r="AD71" s="48">
        <f t="shared" ca="1" si="50"/>
        <v>0</v>
      </c>
      <c r="AE71" s="28" t="str">
        <f t="shared" ca="1" si="51"/>
        <v/>
      </c>
    </row>
    <row r="72" spans="1:31">
      <c r="A72" s="28" t="s">
        <v>36</v>
      </c>
      <c r="B72" s="29" t="s">
        <v>342</v>
      </c>
      <c r="C72" s="29" t="s">
        <v>343</v>
      </c>
      <c r="D72" s="26" t="s">
        <v>189</v>
      </c>
      <c r="E72" s="28">
        <f t="shared" ca="1" si="30"/>
        <v>0</v>
      </c>
      <c r="F72" s="33">
        <v>17200</v>
      </c>
      <c r="G72" s="35">
        <f t="shared" ca="1" si="31"/>
        <v>0</v>
      </c>
      <c r="H72" s="35">
        <f t="shared" ca="1" si="36"/>
        <v>0</v>
      </c>
      <c r="I72" s="44">
        <f t="shared" ca="1" si="37"/>
        <v>0</v>
      </c>
      <c r="J72" s="33">
        <v>4300</v>
      </c>
      <c r="K72" s="35">
        <f t="shared" ca="1" si="32"/>
        <v>0</v>
      </c>
      <c r="L72" s="35">
        <f t="shared" ca="1" si="38"/>
        <v>0</v>
      </c>
      <c r="M72" s="44">
        <f t="shared" ca="1" si="39"/>
        <v>0</v>
      </c>
      <c r="N72" s="28">
        <f t="shared" ca="1" si="33"/>
        <v>0</v>
      </c>
      <c r="O72" s="33">
        <v>17200</v>
      </c>
      <c r="P72" s="35">
        <f t="shared" ca="1" si="34"/>
        <v>0</v>
      </c>
      <c r="Q72" s="35">
        <f t="shared" ca="1" si="40"/>
        <v>0</v>
      </c>
      <c r="R72" s="45">
        <f t="shared" ca="1" si="41"/>
        <v>0</v>
      </c>
      <c r="S72" s="86">
        <v>8032</v>
      </c>
      <c r="T72" s="86">
        <f t="shared" ca="1" si="35"/>
        <v>0</v>
      </c>
      <c r="U72" s="81">
        <f t="shared" ca="1" si="42"/>
        <v>0</v>
      </c>
      <c r="V72" s="86"/>
      <c r="W72" s="86">
        <f t="shared" ca="1" si="43"/>
        <v>0</v>
      </c>
      <c r="X72" s="80">
        <f t="shared" ca="1" si="44"/>
        <v>0</v>
      </c>
      <c r="Y72" s="62">
        <f t="shared" ca="1" si="45"/>
        <v>0</v>
      </c>
      <c r="Z72" s="35">
        <f t="shared" ca="1" si="46"/>
        <v>0</v>
      </c>
      <c r="AA72" s="38">
        <f t="shared" ca="1" si="47"/>
        <v>0</v>
      </c>
      <c r="AB72" s="38">
        <f t="shared" ca="1" si="48"/>
        <v>0</v>
      </c>
      <c r="AC72" s="38">
        <f t="shared" ca="1" si="49"/>
        <v>0</v>
      </c>
      <c r="AD72" s="48">
        <f t="shared" ca="1" si="50"/>
        <v>0</v>
      </c>
      <c r="AE72" s="28" t="str">
        <f t="shared" ca="1" si="51"/>
        <v/>
      </c>
    </row>
    <row r="73" spans="1:31">
      <c r="A73" s="28" t="s">
        <v>36</v>
      </c>
      <c r="B73" s="29" t="s">
        <v>344</v>
      </c>
      <c r="C73" s="29" t="s">
        <v>345</v>
      </c>
      <c r="D73" s="26" t="s">
        <v>190</v>
      </c>
      <c r="E73" s="28">
        <f t="shared" ca="1" si="30"/>
        <v>0</v>
      </c>
      <c r="F73" s="33">
        <v>17200</v>
      </c>
      <c r="G73" s="35">
        <f t="shared" ca="1" si="31"/>
        <v>0</v>
      </c>
      <c r="H73" s="35">
        <f t="shared" ca="1" si="36"/>
        <v>0</v>
      </c>
      <c r="I73" s="44">
        <f t="shared" ca="1" si="37"/>
        <v>0</v>
      </c>
      <c r="J73" s="33">
        <v>4300</v>
      </c>
      <c r="K73" s="35">
        <f t="shared" ca="1" si="32"/>
        <v>0</v>
      </c>
      <c r="L73" s="35">
        <f t="shared" ca="1" si="38"/>
        <v>0</v>
      </c>
      <c r="M73" s="44">
        <f t="shared" ca="1" si="39"/>
        <v>0</v>
      </c>
      <c r="N73" s="28">
        <f t="shared" ca="1" si="33"/>
        <v>0</v>
      </c>
      <c r="O73" s="33">
        <v>17200</v>
      </c>
      <c r="P73" s="35">
        <f t="shared" ca="1" si="34"/>
        <v>0</v>
      </c>
      <c r="Q73" s="35">
        <f t="shared" ca="1" si="40"/>
        <v>0</v>
      </c>
      <c r="R73" s="45">
        <f t="shared" ca="1" si="41"/>
        <v>0</v>
      </c>
      <c r="S73" s="86">
        <v>8032</v>
      </c>
      <c r="T73" s="86">
        <f t="shared" ca="1" si="35"/>
        <v>0</v>
      </c>
      <c r="U73" s="81">
        <f t="shared" ca="1" si="42"/>
        <v>0</v>
      </c>
      <c r="V73" s="86"/>
      <c r="W73" s="86">
        <f t="shared" ca="1" si="43"/>
        <v>0</v>
      </c>
      <c r="X73" s="80">
        <f t="shared" ca="1" si="44"/>
        <v>0</v>
      </c>
      <c r="Y73" s="62">
        <f t="shared" ca="1" si="45"/>
        <v>0</v>
      </c>
      <c r="Z73" s="35">
        <f t="shared" ca="1" si="46"/>
        <v>0</v>
      </c>
      <c r="AA73" s="38">
        <f t="shared" ca="1" si="47"/>
        <v>0</v>
      </c>
      <c r="AB73" s="38">
        <f t="shared" ca="1" si="48"/>
        <v>0</v>
      </c>
      <c r="AC73" s="38">
        <f t="shared" ca="1" si="49"/>
        <v>0</v>
      </c>
      <c r="AD73" s="48">
        <f t="shared" ca="1" si="50"/>
        <v>0</v>
      </c>
      <c r="AE73" s="28" t="str">
        <f t="shared" ca="1" si="51"/>
        <v/>
      </c>
    </row>
    <row r="74" spans="1:31">
      <c r="A74" s="28" t="s">
        <v>36</v>
      </c>
      <c r="B74" s="29" t="s">
        <v>346</v>
      </c>
      <c r="C74" s="29" t="s">
        <v>347</v>
      </c>
      <c r="D74" s="26" t="s">
        <v>191</v>
      </c>
      <c r="E74" s="28">
        <f t="shared" ca="1" si="30"/>
        <v>0</v>
      </c>
      <c r="F74" s="33">
        <v>17200</v>
      </c>
      <c r="G74" s="35">
        <f t="shared" ca="1" si="31"/>
        <v>0</v>
      </c>
      <c r="H74" s="35">
        <f t="shared" ca="1" si="36"/>
        <v>0</v>
      </c>
      <c r="I74" s="44">
        <f t="shared" ca="1" si="37"/>
        <v>0</v>
      </c>
      <c r="J74" s="33">
        <v>4300</v>
      </c>
      <c r="K74" s="35">
        <f t="shared" ca="1" si="32"/>
        <v>0</v>
      </c>
      <c r="L74" s="35">
        <f t="shared" ca="1" si="38"/>
        <v>0</v>
      </c>
      <c r="M74" s="44">
        <f t="shared" ca="1" si="39"/>
        <v>0</v>
      </c>
      <c r="N74" s="28">
        <f t="shared" ca="1" si="33"/>
        <v>0</v>
      </c>
      <c r="O74" s="33">
        <v>17200</v>
      </c>
      <c r="P74" s="35">
        <f t="shared" ca="1" si="34"/>
        <v>0</v>
      </c>
      <c r="Q74" s="35">
        <f t="shared" ca="1" si="40"/>
        <v>0</v>
      </c>
      <c r="R74" s="45">
        <f t="shared" ca="1" si="41"/>
        <v>0</v>
      </c>
      <c r="S74" s="86">
        <v>8032</v>
      </c>
      <c r="T74" s="86">
        <f t="shared" ca="1" si="35"/>
        <v>0</v>
      </c>
      <c r="U74" s="81">
        <f t="shared" ca="1" si="42"/>
        <v>0</v>
      </c>
      <c r="V74" s="86"/>
      <c r="W74" s="86">
        <f t="shared" ca="1" si="43"/>
        <v>0</v>
      </c>
      <c r="X74" s="80">
        <f t="shared" ca="1" si="44"/>
        <v>0</v>
      </c>
      <c r="Y74" s="62">
        <f t="shared" ca="1" si="45"/>
        <v>0</v>
      </c>
      <c r="Z74" s="35">
        <f t="shared" ca="1" si="46"/>
        <v>0</v>
      </c>
      <c r="AA74" s="38">
        <f t="shared" ca="1" si="47"/>
        <v>0</v>
      </c>
      <c r="AB74" s="38">
        <f t="shared" ca="1" si="48"/>
        <v>0</v>
      </c>
      <c r="AC74" s="38">
        <f t="shared" ca="1" si="49"/>
        <v>0</v>
      </c>
      <c r="AD74" s="48">
        <f t="shared" ca="1" si="50"/>
        <v>0</v>
      </c>
      <c r="AE74" s="28" t="str">
        <f t="shared" ca="1" si="51"/>
        <v/>
      </c>
    </row>
    <row r="75" spans="1:31">
      <c r="A75" s="28" t="s">
        <v>36</v>
      </c>
      <c r="B75" s="29" t="s">
        <v>348</v>
      </c>
      <c r="C75" s="29" t="s">
        <v>349</v>
      </c>
      <c r="D75" s="26" t="s">
        <v>192</v>
      </c>
      <c r="E75" s="28">
        <f t="shared" ca="1" si="30"/>
        <v>0</v>
      </c>
      <c r="F75" s="33">
        <v>17200</v>
      </c>
      <c r="G75" s="35">
        <f t="shared" ca="1" si="31"/>
        <v>0</v>
      </c>
      <c r="H75" s="35">
        <f t="shared" ca="1" si="36"/>
        <v>0</v>
      </c>
      <c r="I75" s="44">
        <f t="shared" ca="1" si="37"/>
        <v>0</v>
      </c>
      <c r="J75" s="33">
        <v>4300</v>
      </c>
      <c r="K75" s="35">
        <f t="shared" ca="1" si="32"/>
        <v>0</v>
      </c>
      <c r="L75" s="35">
        <f t="shared" ca="1" si="38"/>
        <v>0</v>
      </c>
      <c r="M75" s="44">
        <f t="shared" ca="1" si="39"/>
        <v>0</v>
      </c>
      <c r="N75" s="28">
        <f t="shared" ca="1" si="33"/>
        <v>0</v>
      </c>
      <c r="O75" s="33">
        <v>17200</v>
      </c>
      <c r="P75" s="35">
        <f t="shared" ca="1" si="34"/>
        <v>0</v>
      </c>
      <c r="Q75" s="35">
        <f t="shared" ca="1" si="40"/>
        <v>0</v>
      </c>
      <c r="R75" s="45">
        <f t="shared" ca="1" si="41"/>
        <v>0</v>
      </c>
      <c r="S75" s="86">
        <v>8032</v>
      </c>
      <c r="T75" s="86">
        <f t="shared" ca="1" si="35"/>
        <v>0</v>
      </c>
      <c r="U75" s="81">
        <f t="shared" ca="1" si="42"/>
        <v>0</v>
      </c>
      <c r="V75" s="86"/>
      <c r="W75" s="86">
        <f t="shared" ca="1" si="43"/>
        <v>0</v>
      </c>
      <c r="X75" s="80">
        <f t="shared" ca="1" si="44"/>
        <v>0</v>
      </c>
      <c r="Y75" s="62">
        <f t="shared" ca="1" si="45"/>
        <v>0</v>
      </c>
      <c r="Z75" s="35">
        <f t="shared" ca="1" si="46"/>
        <v>0</v>
      </c>
      <c r="AA75" s="38">
        <f t="shared" ca="1" si="47"/>
        <v>0</v>
      </c>
      <c r="AB75" s="38">
        <f t="shared" ca="1" si="48"/>
        <v>0</v>
      </c>
      <c r="AC75" s="38">
        <f t="shared" ca="1" si="49"/>
        <v>0</v>
      </c>
      <c r="AD75" s="48">
        <f t="shared" ca="1" si="50"/>
        <v>0</v>
      </c>
      <c r="AE75" s="28" t="str">
        <f t="shared" ca="1" si="51"/>
        <v/>
      </c>
    </row>
    <row r="76" spans="1:31">
      <c r="A76" s="28" t="s">
        <v>36</v>
      </c>
      <c r="B76" s="29" t="s">
        <v>350</v>
      </c>
      <c r="C76" s="29" t="s">
        <v>351</v>
      </c>
      <c r="D76" s="26" t="s">
        <v>193</v>
      </c>
      <c r="E76" s="28">
        <f t="shared" ca="1" si="30"/>
        <v>0</v>
      </c>
      <c r="F76" s="33">
        <v>17200</v>
      </c>
      <c r="G76" s="35">
        <f t="shared" ca="1" si="31"/>
        <v>0</v>
      </c>
      <c r="H76" s="35">
        <f t="shared" ca="1" si="36"/>
        <v>0</v>
      </c>
      <c r="I76" s="44">
        <f t="shared" ca="1" si="37"/>
        <v>0</v>
      </c>
      <c r="J76" s="33">
        <v>4300</v>
      </c>
      <c r="K76" s="35">
        <f t="shared" ca="1" si="32"/>
        <v>0</v>
      </c>
      <c r="L76" s="35">
        <f t="shared" ca="1" si="38"/>
        <v>0</v>
      </c>
      <c r="M76" s="44">
        <f t="shared" ca="1" si="39"/>
        <v>0</v>
      </c>
      <c r="N76" s="28">
        <f t="shared" ca="1" si="33"/>
        <v>0</v>
      </c>
      <c r="O76" s="33">
        <v>17200</v>
      </c>
      <c r="P76" s="35">
        <f t="shared" ca="1" si="34"/>
        <v>0</v>
      </c>
      <c r="Q76" s="35">
        <f t="shared" ca="1" si="40"/>
        <v>0</v>
      </c>
      <c r="R76" s="45">
        <f t="shared" ca="1" si="41"/>
        <v>0</v>
      </c>
      <c r="S76" s="86">
        <v>8032</v>
      </c>
      <c r="T76" s="86">
        <f t="shared" ca="1" si="35"/>
        <v>0</v>
      </c>
      <c r="U76" s="81">
        <f t="shared" ca="1" si="42"/>
        <v>0</v>
      </c>
      <c r="V76" s="86"/>
      <c r="W76" s="86">
        <f t="shared" ca="1" si="43"/>
        <v>0</v>
      </c>
      <c r="X76" s="80">
        <f t="shared" ca="1" si="44"/>
        <v>0</v>
      </c>
      <c r="Y76" s="62">
        <f t="shared" ca="1" si="45"/>
        <v>0</v>
      </c>
      <c r="Z76" s="35">
        <f t="shared" ca="1" si="46"/>
        <v>0</v>
      </c>
      <c r="AA76" s="38">
        <f t="shared" ca="1" si="47"/>
        <v>0</v>
      </c>
      <c r="AB76" s="38">
        <f t="shared" ca="1" si="48"/>
        <v>0</v>
      </c>
      <c r="AC76" s="38">
        <f t="shared" ca="1" si="49"/>
        <v>0</v>
      </c>
      <c r="AD76" s="48">
        <f t="shared" ca="1" si="50"/>
        <v>0</v>
      </c>
      <c r="AE76" s="28" t="str">
        <f t="shared" ca="1" si="51"/>
        <v/>
      </c>
    </row>
    <row r="77" spans="1:31">
      <c r="A77" s="28" t="s">
        <v>36</v>
      </c>
      <c r="B77" s="29" t="s">
        <v>352</v>
      </c>
      <c r="C77" s="29" t="s">
        <v>353</v>
      </c>
      <c r="D77" s="26" t="s">
        <v>194</v>
      </c>
      <c r="E77" s="28">
        <f t="shared" ca="1" si="30"/>
        <v>0</v>
      </c>
      <c r="F77" s="33">
        <v>17200</v>
      </c>
      <c r="G77" s="35">
        <f t="shared" ca="1" si="31"/>
        <v>0</v>
      </c>
      <c r="H77" s="35">
        <f t="shared" ca="1" si="36"/>
        <v>0</v>
      </c>
      <c r="I77" s="44">
        <f t="shared" ca="1" si="37"/>
        <v>0</v>
      </c>
      <c r="J77" s="33">
        <v>4300</v>
      </c>
      <c r="K77" s="35">
        <f t="shared" ca="1" si="32"/>
        <v>0</v>
      </c>
      <c r="L77" s="35">
        <f t="shared" ca="1" si="38"/>
        <v>0</v>
      </c>
      <c r="M77" s="44">
        <f t="shared" ca="1" si="39"/>
        <v>0</v>
      </c>
      <c r="N77" s="28">
        <f t="shared" ca="1" si="33"/>
        <v>0</v>
      </c>
      <c r="O77" s="33">
        <v>17200</v>
      </c>
      <c r="P77" s="35">
        <f t="shared" ca="1" si="34"/>
        <v>0</v>
      </c>
      <c r="Q77" s="35">
        <f t="shared" ca="1" si="40"/>
        <v>0</v>
      </c>
      <c r="R77" s="45">
        <f t="shared" ca="1" si="41"/>
        <v>0</v>
      </c>
      <c r="S77" s="86">
        <v>8032</v>
      </c>
      <c r="T77" s="86">
        <f t="shared" ca="1" si="35"/>
        <v>0</v>
      </c>
      <c r="U77" s="81">
        <f t="shared" ca="1" si="42"/>
        <v>0</v>
      </c>
      <c r="V77" s="86"/>
      <c r="W77" s="86">
        <f t="shared" ca="1" si="43"/>
        <v>0</v>
      </c>
      <c r="X77" s="80">
        <f t="shared" ca="1" si="44"/>
        <v>0</v>
      </c>
      <c r="Y77" s="62">
        <f t="shared" ca="1" si="45"/>
        <v>0</v>
      </c>
      <c r="Z77" s="35">
        <f t="shared" ca="1" si="46"/>
        <v>0</v>
      </c>
      <c r="AA77" s="38">
        <f t="shared" ca="1" si="47"/>
        <v>0</v>
      </c>
      <c r="AB77" s="38">
        <f t="shared" ca="1" si="48"/>
        <v>0</v>
      </c>
      <c r="AC77" s="38">
        <f t="shared" ca="1" si="49"/>
        <v>0</v>
      </c>
      <c r="AD77" s="48">
        <f t="shared" ca="1" si="50"/>
        <v>0</v>
      </c>
      <c r="AE77" s="28" t="str">
        <f t="shared" ca="1" si="51"/>
        <v/>
      </c>
    </row>
    <row r="78" spans="1:31">
      <c r="A78" s="28" t="s">
        <v>36</v>
      </c>
      <c r="B78" s="29" t="s">
        <v>354</v>
      </c>
      <c r="C78" s="29" t="s">
        <v>355</v>
      </c>
      <c r="D78" s="26" t="s">
        <v>195</v>
      </c>
      <c r="E78" s="28">
        <f t="shared" ca="1" si="30"/>
        <v>0</v>
      </c>
      <c r="F78" s="33">
        <v>17200</v>
      </c>
      <c r="G78" s="35">
        <f t="shared" ca="1" si="31"/>
        <v>0</v>
      </c>
      <c r="H78" s="35">
        <f t="shared" ca="1" si="36"/>
        <v>0</v>
      </c>
      <c r="I78" s="44">
        <f t="shared" ca="1" si="37"/>
        <v>0</v>
      </c>
      <c r="J78" s="33">
        <v>4300</v>
      </c>
      <c r="K78" s="35">
        <f t="shared" ca="1" si="32"/>
        <v>0</v>
      </c>
      <c r="L78" s="35">
        <f t="shared" ca="1" si="38"/>
        <v>0</v>
      </c>
      <c r="M78" s="44">
        <f t="shared" ca="1" si="39"/>
        <v>0</v>
      </c>
      <c r="N78" s="28">
        <f t="shared" ca="1" si="33"/>
        <v>0</v>
      </c>
      <c r="O78" s="33">
        <v>17200</v>
      </c>
      <c r="P78" s="35">
        <f t="shared" ca="1" si="34"/>
        <v>0</v>
      </c>
      <c r="Q78" s="35">
        <f t="shared" ca="1" si="40"/>
        <v>0</v>
      </c>
      <c r="R78" s="45">
        <f t="shared" ca="1" si="41"/>
        <v>0</v>
      </c>
      <c r="S78" s="86">
        <v>8032</v>
      </c>
      <c r="T78" s="86">
        <f t="shared" ca="1" si="35"/>
        <v>0</v>
      </c>
      <c r="U78" s="81">
        <f t="shared" ca="1" si="42"/>
        <v>0</v>
      </c>
      <c r="V78" s="86"/>
      <c r="W78" s="86">
        <f t="shared" ca="1" si="43"/>
        <v>0</v>
      </c>
      <c r="X78" s="80">
        <f t="shared" ca="1" si="44"/>
        <v>0</v>
      </c>
      <c r="Y78" s="62">
        <f t="shared" ca="1" si="45"/>
        <v>0</v>
      </c>
      <c r="Z78" s="35">
        <f t="shared" ca="1" si="46"/>
        <v>0</v>
      </c>
      <c r="AA78" s="38">
        <f t="shared" ca="1" si="47"/>
        <v>0</v>
      </c>
      <c r="AB78" s="38">
        <f t="shared" ca="1" si="48"/>
        <v>0</v>
      </c>
      <c r="AC78" s="38">
        <f t="shared" ca="1" si="49"/>
        <v>0</v>
      </c>
      <c r="AD78" s="48">
        <f t="shared" ca="1" si="50"/>
        <v>0</v>
      </c>
      <c r="AE78" s="28" t="str">
        <f t="shared" ca="1" si="51"/>
        <v/>
      </c>
    </row>
    <row r="79" spans="1:31">
      <c r="A79" s="28" t="s">
        <v>36</v>
      </c>
      <c r="B79" s="29" t="s">
        <v>356</v>
      </c>
      <c r="C79" s="29" t="s">
        <v>357</v>
      </c>
      <c r="D79" s="26" t="s">
        <v>196</v>
      </c>
      <c r="E79" s="28">
        <f t="shared" ca="1" si="30"/>
        <v>0</v>
      </c>
      <c r="F79" s="33">
        <v>17200</v>
      </c>
      <c r="G79" s="35">
        <f t="shared" ca="1" si="31"/>
        <v>0</v>
      </c>
      <c r="H79" s="35">
        <f t="shared" ca="1" si="36"/>
        <v>0</v>
      </c>
      <c r="I79" s="44">
        <f t="shared" ca="1" si="37"/>
        <v>0</v>
      </c>
      <c r="J79" s="33">
        <v>4300</v>
      </c>
      <c r="K79" s="35">
        <f t="shared" ca="1" si="32"/>
        <v>0</v>
      </c>
      <c r="L79" s="35">
        <f t="shared" ca="1" si="38"/>
        <v>0</v>
      </c>
      <c r="M79" s="44">
        <f t="shared" ca="1" si="39"/>
        <v>0</v>
      </c>
      <c r="N79" s="28">
        <f t="shared" ca="1" si="33"/>
        <v>0</v>
      </c>
      <c r="O79" s="33">
        <v>17200</v>
      </c>
      <c r="P79" s="35">
        <f t="shared" ca="1" si="34"/>
        <v>0</v>
      </c>
      <c r="Q79" s="35">
        <f t="shared" ca="1" si="40"/>
        <v>0</v>
      </c>
      <c r="R79" s="45">
        <f t="shared" ca="1" si="41"/>
        <v>0</v>
      </c>
      <c r="S79" s="86">
        <v>8032</v>
      </c>
      <c r="T79" s="86">
        <f t="shared" ca="1" si="35"/>
        <v>0</v>
      </c>
      <c r="U79" s="81">
        <f t="shared" ca="1" si="42"/>
        <v>0</v>
      </c>
      <c r="V79" s="86"/>
      <c r="W79" s="86">
        <f t="shared" ca="1" si="43"/>
        <v>0</v>
      </c>
      <c r="X79" s="80">
        <f t="shared" ca="1" si="44"/>
        <v>0</v>
      </c>
      <c r="Y79" s="62">
        <f t="shared" ca="1" si="45"/>
        <v>0</v>
      </c>
      <c r="Z79" s="35">
        <f t="shared" ca="1" si="46"/>
        <v>0</v>
      </c>
      <c r="AA79" s="38">
        <f t="shared" ca="1" si="47"/>
        <v>0</v>
      </c>
      <c r="AB79" s="38">
        <f t="shared" ca="1" si="48"/>
        <v>0</v>
      </c>
      <c r="AC79" s="38">
        <f t="shared" ca="1" si="49"/>
        <v>0</v>
      </c>
      <c r="AD79" s="48">
        <f t="shared" ca="1" si="50"/>
        <v>0</v>
      </c>
      <c r="AE79" s="28" t="str">
        <f t="shared" ca="1" si="51"/>
        <v/>
      </c>
    </row>
    <row r="80" spans="1:31">
      <c r="A80" s="28" t="s">
        <v>36</v>
      </c>
      <c r="B80" s="29" t="s">
        <v>358</v>
      </c>
      <c r="C80" s="29" t="s">
        <v>359</v>
      </c>
      <c r="D80" s="26" t="s">
        <v>197</v>
      </c>
      <c r="E80" s="28">
        <f t="shared" ca="1" si="30"/>
        <v>0</v>
      </c>
      <c r="F80" s="33">
        <v>17200</v>
      </c>
      <c r="G80" s="35">
        <f t="shared" ca="1" si="31"/>
        <v>0</v>
      </c>
      <c r="H80" s="35">
        <f t="shared" ca="1" si="36"/>
        <v>0</v>
      </c>
      <c r="I80" s="44">
        <f t="shared" ca="1" si="37"/>
        <v>0</v>
      </c>
      <c r="J80" s="33">
        <v>4300</v>
      </c>
      <c r="K80" s="35">
        <f t="shared" ca="1" si="32"/>
        <v>0</v>
      </c>
      <c r="L80" s="35">
        <f t="shared" ca="1" si="38"/>
        <v>0</v>
      </c>
      <c r="M80" s="44">
        <f t="shared" ca="1" si="39"/>
        <v>0</v>
      </c>
      <c r="N80" s="28">
        <f t="shared" ca="1" si="33"/>
        <v>0</v>
      </c>
      <c r="O80" s="33">
        <v>17200</v>
      </c>
      <c r="P80" s="35">
        <f t="shared" ca="1" si="34"/>
        <v>0</v>
      </c>
      <c r="Q80" s="35">
        <f t="shared" ca="1" si="40"/>
        <v>0</v>
      </c>
      <c r="R80" s="45">
        <f t="shared" ca="1" si="41"/>
        <v>0</v>
      </c>
      <c r="S80" s="86">
        <v>8032</v>
      </c>
      <c r="T80" s="86">
        <f t="shared" ca="1" si="35"/>
        <v>0</v>
      </c>
      <c r="U80" s="81">
        <f t="shared" ca="1" si="42"/>
        <v>0</v>
      </c>
      <c r="V80" s="86"/>
      <c r="W80" s="86">
        <f t="shared" ca="1" si="43"/>
        <v>0</v>
      </c>
      <c r="X80" s="80">
        <f t="shared" ca="1" si="44"/>
        <v>0</v>
      </c>
      <c r="Y80" s="62">
        <f t="shared" ca="1" si="45"/>
        <v>0</v>
      </c>
      <c r="Z80" s="35">
        <f t="shared" ca="1" si="46"/>
        <v>0</v>
      </c>
      <c r="AA80" s="38">
        <f t="shared" ca="1" si="47"/>
        <v>0</v>
      </c>
      <c r="AB80" s="38">
        <f t="shared" ca="1" si="48"/>
        <v>0</v>
      </c>
      <c r="AC80" s="38">
        <f t="shared" ca="1" si="49"/>
        <v>0</v>
      </c>
      <c r="AD80" s="48">
        <f t="shared" ca="1" si="50"/>
        <v>0</v>
      </c>
      <c r="AE80" s="28" t="str">
        <f t="shared" ca="1" si="51"/>
        <v/>
      </c>
    </row>
    <row r="81" spans="1:31">
      <c r="A81" s="28" t="s">
        <v>36</v>
      </c>
      <c r="B81" s="29" t="s">
        <v>360</v>
      </c>
      <c r="C81" s="29" t="s">
        <v>361</v>
      </c>
      <c r="D81" s="26" t="s">
        <v>198</v>
      </c>
      <c r="E81" s="28">
        <f t="shared" ca="1" si="30"/>
        <v>0</v>
      </c>
      <c r="F81" s="33">
        <v>17200</v>
      </c>
      <c r="G81" s="35">
        <f t="shared" ca="1" si="31"/>
        <v>0</v>
      </c>
      <c r="H81" s="35">
        <f t="shared" ca="1" si="36"/>
        <v>0</v>
      </c>
      <c r="I81" s="44">
        <f t="shared" ca="1" si="37"/>
        <v>0</v>
      </c>
      <c r="J81" s="33">
        <v>4300</v>
      </c>
      <c r="K81" s="35">
        <f t="shared" ca="1" si="32"/>
        <v>0</v>
      </c>
      <c r="L81" s="35">
        <f t="shared" ca="1" si="38"/>
        <v>0</v>
      </c>
      <c r="M81" s="44">
        <f t="shared" ca="1" si="39"/>
        <v>0</v>
      </c>
      <c r="N81" s="28">
        <f t="shared" ca="1" si="33"/>
        <v>0</v>
      </c>
      <c r="O81" s="33">
        <v>17200</v>
      </c>
      <c r="P81" s="35">
        <f t="shared" ca="1" si="34"/>
        <v>0</v>
      </c>
      <c r="Q81" s="35">
        <f t="shared" ca="1" si="40"/>
        <v>0</v>
      </c>
      <c r="R81" s="45">
        <f t="shared" ca="1" si="41"/>
        <v>0</v>
      </c>
      <c r="S81" s="86">
        <v>8032</v>
      </c>
      <c r="T81" s="86">
        <f t="shared" ca="1" si="35"/>
        <v>0</v>
      </c>
      <c r="U81" s="81">
        <f t="shared" ca="1" si="42"/>
        <v>0</v>
      </c>
      <c r="V81" s="86"/>
      <c r="W81" s="86">
        <f t="shared" ca="1" si="43"/>
        <v>0</v>
      </c>
      <c r="X81" s="80">
        <f t="shared" ca="1" si="44"/>
        <v>0</v>
      </c>
      <c r="Y81" s="62">
        <f t="shared" ca="1" si="45"/>
        <v>0</v>
      </c>
      <c r="Z81" s="35">
        <f t="shared" ca="1" si="46"/>
        <v>0</v>
      </c>
      <c r="AA81" s="38">
        <f t="shared" ca="1" si="47"/>
        <v>0</v>
      </c>
      <c r="AB81" s="38">
        <f t="shared" ca="1" si="48"/>
        <v>0</v>
      </c>
      <c r="AC81" s="38">
        <f t="shared" ca="1" si="49"/>
        <v>0</v>
      </c>
      <c r="AD81" s="48">
        <f t="shared" ca="1" si="50"/>
        <v>0</v>
      </c>
      <c r="AE81" s="28" t="str">
        <f t="shared" ca="1" si="51"/>
        <v/>
      </c>
    </row>
    <row r="82" spans="1:31">
      <c r="A82" s="28" t="s">
        <v>36</v>
      </c>
      <c r="B82" s="29" t="s">
        <v>362</v>
      </c>
      <c r="C82" s="29" t="s">
        <v>363</v>
      </c>
      <c r="D82" s="26" t="s">
        <v>199</v>
      </c>
      <c r="E82" s="28">
        <f t="shared" ca="1" si="30"/>
        <v>0</v>
      </c>
      <c r="F82" s="33">
        <v>17200</v>
      </c>
      <c r="G82" s="35">
        <f t="shared" ca="1" si="31"/>
        <v>0</v>
      </c>
      <c r="H82" s="35">
        <f t="shared" ca="1" si="36"/>
        <v>0</v>
      </c>
      <c r="I82" s="44">
        <f t="shared" ca="1" si="37"/>
        <v>0</v>
      </c>
      <c r="J82" s="33">
        <v>4300</v>
      </c>
      <c r="K82" s="35">
        <f t="shared" ca="1" si="32"/>
        <v>0</v>
      </c>
      <c r="L82" s="35">
        <f t="shared" ca="1" si="38"/>
        <v>0</v>
      </c>
      <c r="M82" s="44">
        <f t="shared" ca="1" si="39"/>
        <v>0</v>
      </c>
      <c r="N82" s="28">
        <f t="shared" ca="1" si="33"/>
        <v>0</v>
      </c>
      <c r="O82" s="33">
        <v>17200</v>
      </c>
      <c r="P82" s="35">
        <f t="shared" ca="1" si="34"/>
        <v>0</v>
      </c>
      <c r="Q82" s="35">
        <f t="shared" ca="1" si="40"/>
        <v>0</v>
      </c>
      <c r="R82" s="45">
        <f t="shared" ca="1" si="41"/>
        <v>0</v>
      </c>
      <c r="S82" s="86">
        <v>8032</v>
      </c>
      <c r="T82" s="86">
        <f t="shared" ca="1" si="35"/>
        <v>0</v>
      </c>
      <c r="U82" s="81">
        <f t="shared" ca="1" si="42"/>
        <v>0</v>
      </c>
      <c r="V82" s="86"/>
      <c r="W82" s="86">
        <f t="shared" ca="1" si="43"/>
        <v>0</v>
      </c>
      <c r="X82" s="80">
        <f t="shared" ca="1" si="44"/>
        <v>0</v>
      </c>
      <c r="Y82" s="62">
        <f t="shared" ca="1" si="45"/>
        <v>0</v>
      </c>
      <c r="Z82" s="35">
        <f t="shared" ca="1" si="46"/>
        <v>0</v>
      </c>
      <c r="AA82" s="38">
        <f t="shared" ca="1" si="47"/>
        <v>0</v>
      </c>
      <c r="AB82" s="38">
        <f t="shared" ca="1" si="48"/>
        <v>0</v>
      </c>
      <c r="AC82" s="38">
        <f t="shared" ca="1" si="49"/>
        <v>0</v>
      </c>
      <c r="AD82" s="48">
        <f t="shared" ca="1" si="50"/>
        <v>0</v>
      </c>
      <c r="AE82" s="28" t="str">
        <f t="shared" ca="1" si="51"/>
        <v/>
      </c>
    </row>
    <row r="83" spans="1:31">
      <c r="A83" s="28" t="s">
        <v>36</v>
      </c>
      <c r="B83" s="29" t="s">
        <v>364</v>
      </c>
      <c r="C83" s="29" t="s">
        <v>365</v>
      </c>
      <c r="D83" s="26" t="s">
        <v>200</v>
      </c>
      <c r="E83" s="28">
        <f t="shared" ca="1" si="30"/>
        <v>0</v>
      </c>
      <c r="F83" s="33">
        <v>17200</v>
      </c>
      <c r="G83" s="35">
        <f t="shared" ca="1" si="31"/>
        <v>0</v>
      </c>
      <c r="H83" s="35">
        <f t="shared" ca="1" si="36"/>
        <v>0</v>
      </c>
      <c r="I83" s="44">
        <f t="shared" ca="1" si="37"/>
        <v>0</v>
      </c>
      <c r="J83" s="33">
        <v>4300</v>
      </c>
      <c r="K83" s="35">
        <f t="shared" ca="1" si="32"/>
        <v>0</v>
      </c>
      <c r="L83" s="35">
        <f t="shared" ca="1" si="38"/>
        <v>0</v>
      </c>
      <c r="M83" s="44">
        <f t="shared" ca="1" si="39"/>
        <v>0</v>
      </c>
      <c r="N83" s="28">
        <f t="shared" ca="1" si="33"/>
        <v>0</v>
      </c>
      <c r="O83" s="33">
        <v>17200</v>
      </c>
      <c r="P83" s="35">
        <f t="shared" ca="1" si="34"/>
        <v>0</v>
      </c>
      <c r="Q83" s="35">
        <f t="shared" ca="1" si="40"/>
        <v>0</v>
      </c>
      <c r="R83" s="45">
        <f t="shared" ca="1" si="41"/>
        <v>0</v>
      </c>
      <c r="S83" s="86">
        <v>8032</v>
      </c>
      <c r="T83" s="86">
        <f t="shared" ca="1" si="35"/>
        <v>0</v>
      </c>
      <c r="U83" s="81">
        <f t="shared" ca="1" si="42"/>
        <v>0</v>
      </c>
      <c r="V83" s="86"/>
      <c r="W83" s="86">
        <f t="shared" ca="1" si="43"/>
        <v>0</v>
      </c>
      <c r="X83" s="80">
        <f t="shared" ca="1" si="44"/>
        <v>0</v>
      </c>
      <c r="Y83" s="62">
        <f t="shared" ca="1" si="45"/>
        <v>0</v>
      </c>
      <c r="Z83" s="35">
        <f t="shared" ca="1" si="46"/>
        <v>0</v>
      </c>
      <c r="AA83" s="38">
        <f t="shared" ca="1" si="47"/>
        <v>0</v>
      </c>
      <c r="AB83" s="38">
        <f t="shared" ca="1" si="48"/>
        <v>0</v>
      </c>
      <c r="AC83" s="38">
        <f t="shared" ca="1" si="49"/>
        <v>0</v>
      </c>
      <c r="AD83" s="48">
        <f t="shared" ca="1" si="50"/>
        <v>0</v>
      </c>
      <c r="AE83" s="28" t="str">
        <f t="shared" ca="1" si="51"/>
        <v/>
      </c>
    </row>
    <row r="84" spans="1:31">
      <c r="A84" s="28" t="s">
        <v>36</v>
      </c>
      <c r="B84" s="29" t="s">
        <v>366</v>
      </c>
      <c r="C84" s="29" t="s">
        <v>367</v>
      </c>
      <c r="D84" s="26" t="s">
        <v>201</v>
      </c>
      <c r="E84" s="28">
        <f t="shared" ca="1" si="30"/>
        <v>0</v>
      </c>
      <c r="F84" s="33">
        <v>17200</v>
      </c>
      <c r="G84" s="35">
        <f t="shared" ca="1" si="31"/>
        <v>0</v>
      </c>
      <c r="H84" s="35">
        <f t="shared" ca="1" si="36"/>
        <v>0</v>
      </c>
      <c r="I84" s="44">
        <f t="shared" ca="1" si="37"/>
        <v>0</v>
      </c>
      <c r="J84" s="33">
        <v>4300</v>
      </c>
      <c r="K84" s="35">
        <f t="shared" ca="1" si="32"/>
        <v>0</v>
      </c>
      <c r="L84" s="35">
        <f t="shared" ca="1" si="38"/>
        <v>0</v>
      </c>
      <c r="M84" s="44">
        <f t="shared" ca="1" si="39"/>
        <v>0</v>
      </c>
      <c r="N84" s="28">
        <f t="shared" ca="1" si="33"/>
        <v>0</v>
      </c>
      <c r="O84" s="33">
        <v>17200</v>
      </c>
      <c r="P84" s="35">
        <f t="shared" ca="1" si="34"/>
        <v>0</v>
      </c>
      <c r="Q84" s="35">
        <f t="shared" ca="1" si="40"/>
        <v>0</v>
      </c>
      <c r="R84" s="45">
        <f t="shared" ca="1" si="41"/>
        <v>0</v>
      </c>
      <c r="S84" s="86">
        <v>8032</v>
      </c>
      <c r="T84" s="86">
        <f t="shared" ca="1" si="35"/>
        <v>0</v>
      </c>
      <c r="U84" s="81">
        <f t="shared" ca="1" si="42"/>
        <v>0</v>
      </c>
      <c r="V84" s="86"/>
      <c r="W84" s="86">
        <f t="shared" ca="1" si="43"/>
        <v>0</v>
      </c>
      <c r="X84" s="80">
        <f t="shared" ca="1" si="44"/>
        <v>0</v>
      </c>
      <c r="Y84" s="62">
        <f t="shared" ca="1" si="45"/>
        <v>0</v>
      </c>
      <c r="Z84" s="35">
        <f t="shared" ca="1" si="46"/>
        <v>0</v>
      </c>
      <c r="AA84" s="38">
        <f t="shared" ca="1" si="47"/>
        <v>0</v>
      </c>
      <c r="AB84" s="38">
        <f t="shared" ca="1" si="48"/>
        <v>0</v>
      </c>
      <c r="AC84" s="38">
        <f t="shared" ca="1" si="49"/>
        <v>0</v>
      </c>
      <c r="AD84" s="48">
        <f t="shared" ca="1" si="50"/>
        <v>0</v>
      </c>
      <c r="AE84" s="28" t="str">
        <f t="shared" ca="1" si="51"/>
        <v/>
      </c>
    </row>
    <row r="85" spans="1:31">
      <c r="A85" s="28" t="s">
        <v>36</v>
      </c>
      <c r="B85" s="29" t="s">
        <v>368</v>
      </c>
      <c r="C85" s="29" t="s">
        <v>369</v>
      </c>
      <c r="D85" s="26" t="s">
        <v>202</v>
      </c>
      <c r="E85" s="28">
        <f t="shared" ca="1" si="30"/>
        <v>0</v>
      </c>
      <c r="F85" s="33">
        <v>17200</v>
      </c>
      <c r="G85" s="35">
        <f t="shared" ca="1" si="31"/>
        <v>0</v>
      </c>
      <c r="H85" s="35">
        <f t="shared" ca="1" si="36"/>
        <v>0</v>
      </c>
      <c r="I85" s="44">
        <f t="shared" ca="1" si="37"/>
        <v>0</v>
      </c>
      <c r="J85" s="33">
        <v>4300</v>
      </c>
      <c r="K85" s="35">
        <f t="shared" ca="1" si="32"/>
        <v>0</v>
      </c>
      <c r="L85" s="35">
        <f t="shared" ca="1" si="38"/>
        <v>0</v>
      </c>
      <c r="M85" s="44">
        <f t="shared" ca="1" si="39"/>
        <v>0</v>
      </c>
      <c r="N85" s="28">
        <f t="shared" ca="1" si="33"/>
        <v>0</v>
      </c>
      <c r="O85" s="33">
        <v>17200</v>
      </c>
      <c r="P85" s="35">
        <f t="shared" ca="1" si="34"/>
        <v>0</v>
      </c>
      <c r="Q85" s="35">
        <f t="shared" ca="1" si="40"/>
        <v>0</v>
      </c>
      <c r="R85" s="45">
        <f t="shared" ca="1" si="41"/>
        <v>0</v>
      </c>
      <c r="S85" s="86">
        <v>8032</v>
      </c>
      <c r="T85" s="86">
        <f t="shared" ca="1" si="35"/>
        <v>0</v>
      </c>
      <c r="U85" s="81">
        <f t="shared" ca="1" si="42"/>
        <v>0</v>
      </c>
      <c r="V85" s="86"/>
      <c r="W85" s="86">
        <f t="shared" ca="1" si="43"/>
        <v>0</v>
      </c>
      <c r="X85" s="80">
        <f t="shared" ca="1" si="44"/>
        <v>0</v>
      </c>
      <c r="Y85" s="62">
        <f t="shared" ca="1" si="45"/>
        <v>0</v>
      </c>
      <c r="Z85" s="35">
        <f t="shared" ca="1" si="46"/>
        <v>0</v>
      </c>
      <c r="AA85" s="38">
        <f t="shared" ca="1" si="47"/>
        <v>0</v>
      </c>
      <c r="AB85" s="38">
        <f t="shared" ca="1" si="48"/>
        <v>0</v>
      </c>
      <c r="AC85" s="38">
        <f t="shared" ca="1" si="49"/>
        <v>0</v>
      </c>
      <c r="AD85" s="48">
        <f t="shared" ca="1" si="50"/>
        <v>0</v>
      </c>
      <c r="AE85" s="28" t="str">
        <f t="shared" ca="1" si="51"/>
        <v/>
      </c>
    </row>
    <row r="86" spans="1:31">
      <c r="A86" s="28" t="s">
        <v>36</v>
      </c>
      <c r="B86" s="29" t="s">
        <v>370</v>
      </c>
      <c r="C86" s="29" t="s">
        <v>371</v>
      </c>
      <c r="D86" s="26" t="s">
        <v>203</v>
      </c>
      <c r="E86" s="28">
        <f t="shared" ca="1" si="30"/>
        <v>0</v>
      </c>
      <c r="F86" s="33">
        <v>17200</v>
      </c>
      <c r="G86" s="35">
        <f t="shared" ca="1" si="31"/>
        <v>0</v>
      </c>
      <c r="H86" s="35">
        <f t="shared" ca="1" si="36"/>
        <v>0</v>
      </c>
      <c r="I86" s="44">
        <f t="shared" ca="1" si="37"/>
        <v>0</v>
      </c>
      <c r="J86" s="33">
        <v>4300</v>
      </c>
      <c r="K86" s="35">
        <f t="shared" ca="1" si="32"/>
        <v>0</v>
      </c>
      <c r="L86" s="35">
        <f t="shared" ca="1" si="38"/>
        <v>0</v>
      </c>
      <c r="M86" s="44">
        <f t="shared" ca="1" si="39"/>
        <v>0</v>
      </c>
      <c r="N86" s="28">
        <f t="shared" ca="1" si="33"/>
        <v>0</v>
      </c>
      <c r="O86" s="33">
        <v>17200</v>
      </c>
      <c r="P86" s="35">
        <f t="shared" ca="1" si="34"/>
        <v>0</v>
      </c>
      <c r="Q86" s="35">
        <f t="shared" ca="1" si="40"/>
        <v>0</v>
      </c>
      <c r="R86" s="45">
        <f t="shared" ca="1" si="41"/>
        <v>0</v>
      </c>
      <c r="S86" s="86">
        <v>8032</v>
      </c>
      <c r="T86" s="86">
        <f t="shared" ca="1" si="35"/>
        <v>0</v>
      </c>
      <c r="U86" s="81">
        <f t="shared" ca="1" si="42"/>
        <v>0</v>
      </c>
      <c r="V86" s="86"/>
      <c r="W86" s="86">
        <f t="shared" ca="1" si="43"/>
        <v>0</v>
      </c>
      <c r="X86" s="80">
        <f t="shared" ca="1" si="44"/>
        <v>0</v>
      </c>
      <c r="Y86" s="62">
        <f t="shared" ca="1" si="45"/>
        <v>0</v>
      </c>
      <c r="Z86" s="35">
        <f t="shared" ca="1" si="46"/>
        <v>0</v>
      </c>
      <c r="AA86" s="38">
        <f t="shared" ca="1" si="47"/>
        <v>0</v>
      </c>
      <c r="AB86" s="38">
        <f t="shared" ca="1" si="48"/>
        <v>0</v>
      </c>
      <c r="AC86" s="38">
        <f t="shared" ca="1" si="49"/>
        <v>0</v>
      </c>
      <c r="AD86" s="48">
        <f t="shared" ca="1" si="50"/>
        <v>0</v>
      </c>
      <c r="AE86" s="28" t="str">
        <f t="shared" ca="1" si="51"/>
        <v/>
      </c>
    </row>
    <row r="87" spans="1:31">
      <c r="A87" s="28" t="s">
        <v>36</v>
      </c>
      <c r="B87" s="29" t="s">
        <v>372</v>
      </c>
      <c r="C87" s="29" t="s">
        <v>373</v>
      </c>
      <c r="D87" s="26" t="s">
        <v>204</v>
      </c>
      <c r="E87" s="28">
        <f t="shared" ca="1" si="30"/>
        <v>0</v>
      </c>
      <c r="F87" s="33">
        <v>17200</v>
      </c>
      <c r="G87" s="35">
        <f t="shared" ca="1" si="31"/>
        <v>0</v>
      </c>
      <c r="H87" s="35">
        <f t="shared" ca="1" si="36"/>
        <v>0</v>
      </c>
      <c r="I87" s="44">
        <f t="shared" ca="1" si="37"/>
        <v>0</v>
      </c>
      <c r="J87" s="33">
        <v>4300</v>
      </c>
      <c r="K87" s="35">
        <f t="shared" ca="1" si="32"/>
        <v>0</v>
      </c>
      <c r="L87" s="35">
        <f t="shared" ca="1" si="38"/>
        <v>0</v>
      </c>
      <c r="M87" s="44">
        <f t="shared" ca="1" si="39"/>
        <v>0</v>
      </c>
      <c r="N87" s="28">
        <f t="shared" ca="1" si="33"/>
        <v>0</v>
      </c>
      <c r="O87" s="33">
        <v>17200</v>
      </c>
      <c r="P87" s="35">
        <f t="shared" ca="1" si="34"/>
        <v>0</v>
      </c>
      <c r="Q87" s="35">
        <f t="shared" ca="1" si="40"/>
        <v>0</v>
      </c>
      <c r="R87" s="45">
        <f t="shared" ca="1" si="41"/>
        <v>0</v>
      </c>
      <c r="S87" s="86">
        <v>8032</v>
      </c>
      <c r="T87" s="86">
        <f t="shared" ca="1" si="35"/>
        <v>0</v>
      </c>
      <c r="U87" s="81">
        <f t="shared" ca="1" si="42"/>
        <v>0</v>
      </c>
      <c r="V87" s="86"/>
      <c r="W87" s="86">
        <f t="shared" ca="1" si="43"/>
        <v>0</v>
      </c>
      <c r="X87" s="80">
        <f t="shared" ca="1" si="44"/>
        <v>0</v>
      </c>
      <c r="Y87" s="62">
        <f t="shared" ca="1" si="45"/>
        <v>0</v>
      </c>
      <c r="Z87" s="35">
        <f t="shared" ca="1" si="46"/>
        <v>0</v>
      </c>
      <c r="AA87" s="38">
        <f t="shared" ca="1" si="47"/>
        <v>0</v>
      </c>
      <c r="AB87" s="38">
        <f t="shared" ca="1" si="48"/>
        <v>0</v>
      </c>
      <c r="AC87" s="38">
        <f t="shared" ca="1" si="49"/>
        <v>0</v>
      </c>
      <c r="AD87" s="48">
        <f t="shared" ca="1" si="50"/>
        <v>0</v>
      </c>
      <c r="AE87" s="28" t="str">
        <f t="shared" ca="1" si="51"/>
        <v/>
      </c>
    </row>
    <row r="88" spans="1:31">
      <c r="A88" s="28" t="s">
        <v>36</v>
      </c>
      <c r="B88" s="29" t="s">
        <v>374</v>
      </c>
      <c r="C88" s="29" t="s">
        <v>375</v>
      </c>
      <c r="D88" s="26" t="s">
        <v>205</v>
      </c>
      <c r="E88" s="28">
        <f t="shared" ca="1" si="30"/>
        <v>0</v>
      </c>
      <c r="F88" s="33">
        <v>17200</v>
      </c>
      <c r="G88" s="35">
        <f t="shared" ca="1" si="31"/>
        <v>0</v>
      </c>
      <c r="H88" s="35">
        <f t="shared" ca="1" si="36"/>
        <v>0</v>
      </c>
      <c r="I88" s="44">
        <f t="shared" ca="1" si="37"/>
        <v>0</v>
      </c>
      <c r="J88" s="33">
        <v>4300</v>
      </c>
      <c r="K88" s="35">
        <f t="shared" ca="1" si="32"/>
        <v>0</v>
      </c>
      <c r="L88" s="35">
        <f t="shared" ca="1" si="38"/>
        <v>0</v>
      </c>
      <c r="M88" s="44">
        <f t="shared" ca="1" si="39"/>
        <v>0</v>
      </c>
      <c r="N88" s="28">
        <f t="shared" ca="1" si="33"/>
        <v>0</v>
      </c>
      <c r="O88" s="33">
        <v>17200</v>
      </c>
      <c r="P88" s="35">
        <f t="shared" ca="1" si="34"/>
        <v>0</v>
      </c>
      <c r="Q88" s="35">
        <f t="shared" ca="1" si="40"/>
        <v>0</v>
      </c>
      <c r="R88" s="45">
        <f t="shared" ca="1" si="41"/>
        <v>0</v>
      </c>
      <c r="S88" s="86">
        <v>8032</v>
      </c>
      <c r="T88" s="86">
        <f t="shared" ca="1" si="35"/>
        <v>0</v>
      </c>
      <c r="U88" s="81">
        <f t="shared" ca="1" si="42"/>
        <v>0</v>
      </c>
      <c r="V88" s="86"/>
      <c r="W88" s="86">
        <f t="shared" ca="1" si="43"/>
        <v>0</v>
      </c>
      <c r="X88" s="80">
        <f t="shared" ca="1" si="44"/>
        <v>0</v>
      </c>
      <c r="Y88" s="62">
        <f t="shared" ca="1" si="45"/>
        <v>0</v>
      </c>
      <c r="Z88" s="35">
        <f t="shared" ca="1" si="46"/>
        <v>0</v>
      </c>
      <c r="AA88" s="38">
        <f t="shared" ca="1" si="47"/>
        <v>0</v>
      </c>
      <c r="AB88" s="38">
        <f t="shared" ca="1" si="48"/>
        <v>0</v>
      </c>
      <c r="AC88" s="38">
        <f t="shared" ca="1" si="49"/>
        <v>0</v>
      </c>
      <c r="AD88" s="48">
        <f t="shared" ca="1" si="50"/>
        <v>0</v>
      </c>
      <c r="AE88" s="28" t="str">
        <f t="shared" ca="1" si="51"/>
        <v/>
      </c>
    </row>
    <row r="89" spans="1:31">
      <c r="A89" s="28" t="s">
        <v>36</v>
      </c>
      <c r="B89" s="29" t="s">
        <v>376</v>
      </c>
      <c r="C89" s="29" t="s">
        <v>377</v>
      </c>
      <c r="D89" s="26" t="s">
        <v>206</v>
      </c>
      <c r="E89" s="28">
        <f t="shared" ca="1" si="30"/>
        <v>0</v>
      </c>
      <c r="F89" s="33">
        <v>17200</v>
      </c>
      <c r="G89" s="35">
        <f t="shared" ca="1" si="31"/>
        <v>0</v>
      </c>
      <c r="H89" s="35">
        <f t="shared" ca="1" si="36"/>
        <v>0</v>
      </c>
      <c r="I89" s="44">
        <f t="shared" ca="1" si="37"/>
        <v>0</v>
      </c>
      <c r="J89" s="33">
        <v>4300</v>
      </c>
      <c r="K89" s="35">
        <f t="shared" ca="1" si="32"/>
        <v>0</v>
      </c>
      <c r="L89" s="35">
        <f t="shared" ca="1" si="38"/>
        <v>0</v>
      </c>
      <c r="M89" s="44">
        <f t="shared" ca="1" si="39"/>
        <v>0</v>
      </c>
      <c r="N89" s="28">
        <f t="shared" ca="1" si="33"/>
        <v>0</v>
      </c>
      <c r="O89" s="33">
        <v>17200</v>
      </c>
      <c r="P89" s="35">
        <f t="shared" ca="1" si="34"/>
        <v>0</v>
      </c>
      <c r="Q89" s="35">
        <f t="shared" ca="1" si="40"/>
        <v>0</v>
      </c>
      <c r="R89" s="45">
        <f t="shared" ca="1" si="41"/>
        <v>0</v>
      </c>
      <c r="S89" s="86">
        <v>8032</v>
      </c>
      <c r="T89" s="86">
        <f t="shared" ca="1" si="35"/>
        <v>0</v>
      </c>
      <c r="U89" s="81">
        <f t="shared" ca="1" si="42"/>
        <v>0</v>
      </c>
      <c r="V89" s="86"/>
      <c r="W89" s="86">
        <f t="shared" ca="1" si="43"/>
        <v>0</v>
      </c>
      <c r="X89" s="80">
        <f t="shared" ca="1" si="44"/>
        <v>0</v>
      </c>
      <c r="Y89" s="62">
        <f t="shared" ca="1" si="45"/>
        <v>0</v>
      </c>
      <c r="Z89" s="35">
        <f t="shared" ca="1" si="46"/>
        <v>0</v>
      </c>
      <c r="AA89" s="38">
        <f t="shared" ca="1" si="47"/>
        <v>0</v>
      </c>
      <c r="AB89" s="38">
        <f t="shared" ca="1" si="48"/>
        <v>0</v>
      </c>
      <c r="AC89" s="38">
        <f t="shared" ca="1" si="49"/>
        <v>0</v>
      </c>
      <c r="AD89" s="48">
        <f t="shared" ca="1" si="50"/>
        <v>0</v>
      </c>
      <c r="AE89" s="28" t="str">
        <f t="shared" ca="1" si="51"/>
        <v/>
      </c>
    </row>
    <row r="90" spans="1:31" ht="18.600000000000001" thickBot="1">
      <c r="A90" s="49" t="s">
        <v>36</v>
      </c>
      <c r="B90" s="29" t="s">
        <v>378</v>
      </c>
      <c r="C90" s="29" t="s">
        <v>379</v>
      </c>
      <c r="D90" s="26" t="s">
        <v>207</v>
      </c>
      <c r="E90" s="49">
        <f t="shared" ca="1" si="30"/>
        <v>0</v>
      </c>
      <c r="F90" s="50">
        <v>17200</v>
      </c>
      <c r="G90" s="51">
        <f t="shared" ca="1" si="31"/>
        <v>0</v>
      </c>
      <c r="H90" s="51">
        <f t="shared" ca="1" si="36"/>
        <v>0</v>
      </c>
      <c r="I90" s="52">
        <f t="shared" ca="1" si="37"/>
        <v>0</v>
      </c>
      <c r="J90" s="50">
        <v>4300</v>
      </c>
      <c r="K90" s="51">
        <f t="shared" ca="1" si="32"/>
        <v>0</v>
      </c>
      <c r="L90" s="51">
        <f t="shared" ca="1" si="38"/>
        <v>0</v>
      </c>
      <c r="M90" s="52">
        <f t="shared" ca="1" si="39"/>
        <v>0</v>
      </c>
      <c r="N90" s="49">
        <f t="shared" ca="1" si="33"/>
        <v>0</v>
      </c>
      <c r="O90" s="50">
        <v>17200</v>
      </c>
      <c r="P90" s="51">
        <f t="shared" ca="1" si="34"/>
        <v>0</v>
      </c>
      <c r="Q90" s="51">
        <f t="shared" ca="1" si="40"/>
        <v>0</v>
      </c>
      <c r="R90" s="53">
        <f t="shared" ca="1" si="41"/>
        <v>0</v>
      </c>
      <c r="S90" s="86">
        <v>8032</v>
      </c>
      <c r="T90" s="86">
        <f t="shared" ca="1" si="35"/>
        <v>0</v>
      </c>
      <c r="U90" s="81">
        <f t="shared" ca="1" si="42"/>
        <v>0</v>
      </c>
      <c r="V90" s="87"/>
      <c r="W90" s="86">
        <f t="shared" ca="1" si="43"/>
        <v>0</v>
      </c>
      <c r="X90" s="80">
        <f t="shared" ca="1" si="44"/>
        <v>0</v>
      </c>
      <c r="Y90" s="62">
        <f ca="1">SUM(E90,N90,T90)</f>
        <v>0</v>
      </c>
      <c r="Z90" s="51">
        <f t="shared" ca="1" si="46"/>
        <v>0</v>
      </c>
      <c r="AA90" s="54">
        <f t="shared" ca="1" si="47"/>
        <v>0</v>
      </c>
      <c r="AB90" s="54">
        <f t="shared" ca="1" si="48"/>
        <v>0</v>
      </c>
      <c r="AC90" s="54">
        <f t="shared" ca="1" si="49"/>
        <v>0</v>
      </c>
      <c r="AD90" s="55">
        <f t="shared" ca="1" si="50"/>
        <v>0</v>
      </c>
      <c r="AE90" s="49" t="str">
        <f t="shared" ca="1" si="51"/>
        <v/>
      </c>
    </row>
    <row r="91" spans="1:31" ht="18.600000000000001" thickTop="1">
      <c r="A91" s="137" t="s">
        <v>47</v>
      </c>
      <c r="B91" s="137"/>
      <c r="C91" s="137"/>
      <c r="D91" s="137"/>
      <c r="E91" s="56">
        <f ca="1">SUM(E5:E90)</f>
        <v>29</v>
      </c>
      <c r="F91" s="57" t="s">
        <v>52</v>
      </c>
      <c r="G91" s="58">
        <f t="shared" ref="G91:AE91" ca="1" si="52">SUM(G5:G90)</f>
        <v>4.8333333333333357</v>
      </c>
      <c r="H91" s="58">
        <f t="shared" ca="1" si="52"/>
        <v>4.833333333333333</v>
      </c>
      <c r="I91" s="59">
        <f t="shared" ca="1" si="52"/>
        <v>1995200</v>
      </c>
      <c r="J91" s="57" t="s">
        <v>52</v>
      </c>
      <c r="K91" s="58">
        <f t="shared" ca="1" si="52"/>
        <v>1.2083333333333355</v>
      </c>
      <c r="L91" s="58">
        <f t="shared" ca="1" si="52"/>
        <v>1.2083333333333333</v>
      </c>
      <c r="M91" s="59">
        <f t="shared" ca="1" si="52"/>
        <v>124700</v>
      </c>
      <c r="N91" s="56">
        <f t="shared" ca="1" si="52"/>
        <v>13</v>
      </c>
      <c r="O91" s="57" t="s">
        <v>52</v>
      </c>
      <c r="P91" s="58">
        <f t="shared" ca="1" si="52"/>
        <v>3.8090277777777768</v>
      </c>
      <c r="Q91" s="58">
        <f t="shared" ca="1" si="52"/>
        <v>3.7916666666666652</v>
      </c>
      <c r="R91" s="59">
        <f t="shared" ca="1" si="52"/>
        <v>1565199.9999999998</v>
      </c>
      <c r="S91" s="57" t="s">
        <v>71</v>
      </c>
      <c r="T91" s="59">
        <f t="shared" ca="1" si="52"/>
        <v>0</v>
      </c>
      <c r="U91" s="59">
        <f t="shared" ca="1" si="52"/>
        <v>0</v>
      </c>
      <c r="V91" s="57" t="s">
        <v>71</v>
      </c>
      <c r="W91" s="59">
        <f t="shared" ca="1" si="52"/>
        <v>42</v>
      </c>
      <c r="X91" s="59">
        <f t="shared" ca="1" si="52"/>
        <v>0</v>
      </c>
      <c r="Y91" s="56">
        <f t="shared" ca="1" si="52"/>
        <v>42</v>
      </c>
      <c r="Z91" s="58">
        <f t="shared" ca="1" si="52"/>
        <v>8.6249999999999982</v>
      </c>
      <c r="AA91" s="60">
        <f t="shared" ca="1" si="52"/>
        <v>3560400</v>
      </c>
      <c r="AB91" s="60">
        <f ca="1">SUM(AB5:AB90)</f>
        <v>124700</v>
      </c>
      <c r="AC91" s="60">
        <f ca="1">SUM(AC5:AC90)</f>
        <v>0</v>
      </c>
      <c r="AD91" s="60">
        <f ca="1">SUM(AD5:AD90)</f>
        <v>3685100</v>
      </c>
      <c r="AE91" s="56">
        <f t="shared" ca="1" si="52"/>
        <v>0</v>
      </c>
    </row>
  </sheetData>
  <mergeCells count="12">
    <mergeCell ref="A91:D91"/>
    <mergeCell ref="AE2:AE3"/>
    <mergeCell ref="AA3:AD3"/>
    <mergeCell ref="A2:D3"/>
    <mergeCell ref="N2:R3"/>
    <mergeCell ref="S2:U3"/>
    <mergeCell ref="V2:X3"/>
    <mergeCell ref="Y3:Z3"/>
    <mergeCell ref="E2:M2"/>
    <mergeCell ref="F3:I3"/>
    <mergeCell ref="J3:M3"/>
    <mergeCell ref="Y2:AD2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pageSetUpPr fitToPage="1"/>
  </sheetPr>
  <dimension ref="A1:W90"/>
  <sheetViews>
    <sheetView showZeros="0" view="pageBreakPreview" zoomScale="70" zoomScaleNormal="100" zoomScaleSheetLayoutView="70" workbookViewId="0">
      <pane ySplit="3" topLeftCell="A4" activePane="bottomLeft" state="frozen"/>
      <selection pane="bottomLeft" activeCell="K2" sqref="K2:K3"/>
    </sheetView>
  </sheetViews>
  <sheetFormatPr defaultRowHeight="18"/>
  <cols>
    <col min="1" max="1" width="9" style="31"/>
    <col min="2" max="2" width="25.5" bestFit="1" customWidth="1"/>
    <col min="3" max="3" width="9" style="12" customWidth="1"/>
    <col min="4" max="5" width="9" style="32"/>
    <col min="6" max="6" width="9" style="12"/>
    <col min="7" max="7" width="44.59765625" style="41" customWidth="1"/>
    <col min="8" max="8" width="4.69921875" customWidth="1"/>
    <col min="9" max="9" width="13" style="63" bestFit="1" customWidth="1"/>
    <col min="10" max="10" width="4.09765625" customWidth="1"/>
    <col min="11" max="11" width="7.5" style="12" bestFit="1" customWidth="1"/>
    <col min="12" max="12" width="25.5" bestFit="1" customWidth="1"/>
    <col min="13" max="13" width="9" style="12"/>
    <col min="14" max="14" width="8.8984375" style="32" customWidth="1"/>
    <col min="15" max="15" width="9" style="32"/>
    <col min="16" max="16" width="9" style="12"/>
    <col min="17" max="19" width="9" style="32"/>
    <col min="20" max="20" width="9" style="70"/>
    <col min="21" max="21" width="9" style="32"/>
    <col min="22" max="22" width="9" style="12"/>
    <col min="23" max="23" width="16.8984375" style="27" customWidth="1"/>
  </cols>
  <sheetData>
    <row r="1" spans="1:23" ht="27.75" customHeight="1">
      <c r="A1" s="169" t="str">
        <f>DBCS(TEXT(給与集計!B1,"ggge年m月"))&amp;"分自家用車使用謝礼明細書"</f>
        <v>令和５年４月分自家用車使用謝礼明細書</v>
      </c>
      <c r="B1" s="169"/>
      <c r="C1" s="169"/>
      <c r="D1" s="169"/>
      <c r="E1" s="169"/>
      <c r="F1" s="169"/>
      <c r="G1" s="169"/>
      <c r="K1" s="167" t="str">
        <f>DBCS(TEXT(給与集計!B1,"ggge年m月"))&amp;"分特別日勤務謝礼明細書"</f>
        <v>令和５年４月分特別日勤務謝礼明細書</v>
      </c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</row>
    <row r="2" spans="1:23" ht="18.600000000000001" thickBot="1">
      <c r="A2" s="164" t="s">
        <v>33</v>
      </c>
      <c r="B2" s="164" t="s">
        <v>63</v>
      </c>
      <c r="C2" s="164" t="s">
        <v>64</v>
      </c>
      <c r="D2" s="164" t="s">
        <v>65</v>
      </c>
      <c r="E2" s="164" t="s">
        <v>66</v>
      </c>
      <c r="F2" s="164" t="s">
        <v>67</v>
      </c>
      <c r="G2" s="170" t="s">
        <v>68</v>
      </c>
      <c r="K2" s="165" t="s">
        <v>53</v>
      </c>
      <c r="L2" s="165" t="s">
        <v>54</v>
      </c>
      <c r="M2" s="165" t="s">
        <v>58</v>
      </c>
      <c r="N2" s="165"/>
      <c r="O2" s="165"/>
      <c r="P2" s="165" t="s">
        <v>59</v>
      </c>
      <c r="Q2" s="165"/>
      <c r="R2" s="165"/>
      <c r="S2" s="168" t="s">
        <v>60</v>
      </c>
      <c r="T2" s="168"/>
      <c r="U2" s="168"/>
      <c r="V2" s="165" t="s">
        <v>23</v>
      </c>
      <c r="W2" s="166" t="s">
        <v>61</v>
      </c>
    </row>
    <row r="3" spans="1:23" ht="18.600000000000001" thickBot="1">
      <c r="A3" s="164"/>
      <c r="B3" s="164"/>
      <c r="C3" s="164"/>
      <c r="D3" s="164"/>
      <c r="E3" s="164"/>
      <c r="F3" s="164"/>
      <c r="G3" s="170"/>
      <c r="I3" s="67" t="s">
        <v>69</v>
      </c>
      <c r="K3" s="165"/>
      <c r="L3" s="165"/>
      <c r="M3" s="28" t="s">
        <v>55</v>
      </c>
      <c r="N3" s="62" t="s">
        <v>56</v>
      </c>
      <c r="O3" s="62" t="s">
        <v>62</v>
      </c>
      <c r="P3" s="28" t="s">
        <v>55</v>
      </c>
      <c r="Q3" s="62" t="s">
        <v>56</v>
      </c>
      <c r="R3" s="62" t="s">
        <v>62</v>
      </c>
      <c r="S3" s="62" t="s">
        <v>62</v>
      </c>
      <c r="T3" s="68" t="s">
        <v>57</v>
      </c>
      <c r="U3" s="62" t="s">
        <v>29</v>
      </c>
      <c r="V3" s="165"/>
      <c r="W3" s="166"/>
    </row>
    <row r="4" spans="1:23">
      <c r="A4" s="29" t="str">
        <f>給与集計!B5</f>
        <v>000001</v>
      </c>
      <c r="B4" s="1" t="str">
        <f>給与集計!D5</f>
        <v>サンプル　太郎1</v>
      </c>
      <c r="C4" s="28">
        <f ca="1">給与集計!Y5</f>
        <v>1</v>
      </c>
      <c r="D4" s="33">
        <v>1000</v>
      </c>
      <c r="E4" s="33">
        <f ca="1">C4*D4</f>
        <v>1000</v>
      </c>
      <c r="F4" s="28" t="str">
        <f ca="1">IF(E4=0,"","振込")</f>
        <v>振込</v>
      </c>
      <c r="G4" s="24" t="s">
        <v>381</v>
      </c>
      <c r="I4" s="66">
        <v>45045</v>
      </c>
      <c r="K4" s="29" t="str">
        <f>給与集計!B5</f>
        <v>000001</v>
      </c>
      <c r="L4" s="1" t="str">
        <f>給与集計!D5</f>
        <v>サンプル　太郎1</v>
      </c>
      <c r="M4" s="28"/>
      <c r="N4" s="33">
        <v>59600</v>
      </c>
      <c r="O4" s="33">
        <f>M4*N4</f>
        <v>0</v>
      </c>
      <c r="P4" s="28"/>
      <c r="Q4" s="33">
        <v>30400</v>
      </c>
      <c r="R4" s="33">
        <f>P4*Q4</f>
        <v>0</v>
      </c>
      <c r="S4" s="33">
        <f>SUM(O4,R4)</f>
        <v>0</v>
      </c>
      <c r="T4" s="69"/>
      <c r="U4" s="33">
        <f>S4-T4</f>
        <v>0</v>
      </c>
      <c r="V4" s="28" t="str">
        <f>IF(U4=0,"","振込")</f>
        <v/>
      </c>
      <c r="W4" s="26"/>
    </row>
    <row r="5" spans="1:23">
      <c r="A5" s="29" t="str">
        <f>給与集計!B6</f>
        <v>000002</v>
      </c>
      <c r="B5" s="1" t="str">
        <f>給与集計!D6</f>
        <v>サンプル　太郎2</v>
      </c>
      <c r="C5" s="28">
        <f ca="1">給与集計!Y6</f>
        <v>0</v>
      </c>
      <c r="D5" s="33">
        <v>1000</v>
      </c>
      <c r="E5" s="33">
        <f t="shared" ref="E5:E68" ca="1" si="0">C5*D5</f>
        <v>0</v>
      </c>
      <c r="F5" s="28" t="str">
        <f t="shared" ref="F5:F68" ca="1" si="1">IF(E5=0,"","振込")</f>
        <v/>
      </c>
      <c r="G5" s="24"/>
      <c r="I5" s="64">
        <v>45049</v>
      </c>
      <c r="K5" s="29" t="str">
        <f>給与集計!B6</f>
        <v>000002</v>
      </c>
      <c r="L5" s="1" t="str">
        <f>給与集計!D6</f>
        <v>サンプル　太郎2</v>
      </c>
      <c r="M5" s="28"/>
      <c r="N5" s="33">
        <v>59600</v>
      </c>
      <c r="O5" s="33">
        <f t="shared" ref="O5:O68" si="2">M5*N5</f>
        <v>0</v>
      </c>
      <c r="P5" s="28"/>
      <c r="Q5" s="33">
        <v>30400</v>
      </c>
      <c r="R5" s="33">
        <f t="shared" ref="R5:R68" si="3">P5*Q5</f>
        <v>0</v>
      </c>
      <c r="S5" s="33">
        <f t="shared" ref="S5:S68" si="4">SUM(O5,R5)</f>
        <v>0</v>
      </c>
      <c r="T5" s="69"/>
      <c r="U5" s="33">
        <f t="shared" ref="U5:U68" si="5">S5-T5</f>
        <v>0</v>
      </c>
      <c r="V5" s="28" t="str">
        <f t="shared" ref="V5:V68" si="6">IF(U5=0,"","振込")</f>
        <v/>
      </c>
      <c r="W5" s="26"/>
    </row>
    <row r="6" spans="1:23">
      <c r="A6" s="29" t="str">
        <f>給与集計!B7</f>
        <v>000003</v>
      </c>
      <c r="B6" s="1" t="str">
        <f>給与集計!D7</f>
        <v>サンプル　太郎3</v>
      </c>
      <c r="C6" s="28">
        <f ca="1">給与集計!Y7</f>
        <v>0</v>
      </c>
      <c r="D6" s="33">
        <v>1000</v>
      </c>
      <c r="E6" s="33">
        <f t="shared" ca="1" si="0"/>
        <v>0</v>
      </c>
      <c r="F6" s="28" t="str">
        <f t="shared" ca="1" si="1"/>
        <v/>
      </c>
      <c r="G6" s="24"/>
      <c r="I6" s="64">
        <v>45050</v>
      </c>
      <c r="K6" s="29" t="str">
        <f>給与集計!B7</f>
        <v>000003</v>
      </c>
      <c r="L6" s="1" t="str">
        <f>給与集計!D7</f>
        <v>サンプル　太郎3</v>
      </c>
      <c r="M6" s="28"/>
      <c r="N6" s="33">
        <v>59600</v>
      </c>
      <c r="O6" s="33">
        <f t="shared" si="2"/>
        <v>0</v>
      </c>
      <c r="P6" s="28"/>
      <c r="Q6" s="33">
        <v>30400</v>
      </c>
      <c r="R6" s="33">
        <f t="shared" si="3"/>
        <v>0</v>
      </c>
      <c r="S6" s="33">
        <f t="shared" si="4"/>
        <v>0</v>
      </c>
      <c r="T6" s="69"/>
      <c r="U6" s="33">
        <f t="shared" si="5"/>
        <v>0</v>
      </c>
      <c r="V6" s="28" t="str">
        <f t="shared" si="6"/>
        <v/>
      </c>
      <c r="W6" s="26"/>
    </row>
    <row r="7" spans="1:23">
      <c r="A7" s="29" t="str">
        <f>給与集計!B8</f>
        <v>000004</v>
      </c>
      <c r="B7" s="1" t="str">
        <f>給与集計!D8</f>
        <v>サンプル　太郎4</v>
      </c>
      <c r="C7" s="28">
        <f ca="1">給与集計!Y8</f>
        <v>1</v>
      </c>
      <c r="D7" s="33">
        <v>1000</v>
      </c>
      <c r="E7" s="33">
        <f t="shared" ca="1" si="0"/>
        <v>1000</v>
      </c>
      <c r="F7" s="28" t="str">
        <f t="shared" ca="1" si="1"/>
        <v>振込</v>
      </c>
      <c r="G7" s="24" t="s">
        <v>382</v>
      </c>
      <c r="I7" s="64">
        <v>45051</v>
      </c>
      <c r="K7" s="29" t="str">
        <f>給与集計!B8</f>
        <v>000004</v>
      </c>
      <c r="L7" s="1" t="str">
        <f>給与集計!D8</f>
        <v>サンプル　太郎4</v>
      </c>
      <c r="M7" s="28"/>
      <c r="N7" s="33">
        <v>59600</v>
      </c>
      <c r="O7" s="33">
        <f t="shared" si="2"/>
        <v>0</v>
      </c>
      <c r="P7" s="28"/>
      <c r="Q7" s="33">
        <v>30400</v>
      </c>
      <c r="R7" s="33">
        <f t="shared" si="3"/>
        <v>0</v>
      </c>
      <c r="S7" s="33">
        <f t="shared" si="4"/>
        <v>0</v>
      </c>
      <c r="T7" s="69"/>
      <c r="U7" s="33">
        <f t="shared" si="5"/>
        <v>0</v>
      </c>
      <c r="V7" s="28" t="str">
        <f t="shared" si="6"/>
        <v/>
      </c>
      <c r="W7" s="26"/>
    </row>
    <row r="8" spans="1:23">
      <c r="A8" s="29" t="str">
        <f>給与集計!B9</f>
        <v>000005</v>
      </c>
      <c r="B8" s="1" t="str">
        <f>給与集計!D9</f>
        <v>サンプル　太郎5</v>
      </c>
      <c r="C8" s="28">
        <f ca="1">給与集計!Y9</f>
        <v>4</v>
      </c>
      <c r="D8" s="33">
        <v>1000</v>
      </c>
      <c r="E8" s="33">
        <f t="shared" ca="1" si="0"/>
        <v>4000</v>
      </c>
      <c r="F8" s="28" t="str">
        <f t="shared" ca="1" si="1"/>
        <v>振込</v>
      </c>
      <c r="G8" s="24" t="s">
        <v>383</v>
      </c>
      <c r="I8" s="64">
        <v>45151</v>
      </c>
      <c r="K8" s="29" t="str">
        <f>給与集計!B9</f>
        <v>000005</v>
      </c>
      <c r="L8" s="1" t="str">
        <f>給与集計!D9</f>
        <v>サンプル　太郎5</v>
      </c>
      <c r="M8" s="28"/>
      <c r="N8" s="33">
        <v>59600</v>
      </c>
      <c r="O8" s="33">
        <f t="shared" si="2"/>
        <v>0</v>
      </c>
      <c r="P8" s="28"/>
      <c r="Q8" s="33">
        <v>30400</v>
      </c>
      <c r="R8" s="33">
        <f t="shared" si="3"/>
        <v>0</v>
      </c>
      <c r="S8" s="33">
        <f t="shared" si="4"/>
        <v>0</v>
      </c>
      <c r="T8" s="69"/>
      <c r="U8" s="33">
        <f t="shared" si="5"/>
        <v>0</v>
      </c>
      <c r="V8" s="28" t="str">
        <f t="shared" si="6"/>
        <v/>
      </c>
      <c r="W8" s="26"/>
    </row>
    <row r="9" spans="1:23">
      <c r="A9" s="29" t="str">
        <f>給与集計!B10</f>
        <v>000006</v>
      </c>
      <c r="B9" s="1" t="str">
        <f>給与集計!D10</f>
        <v>サンプル　太郎6</v>
      </c>
      <c r="C9" s="28">
        <f ca="1">給与集計!Y10</f>
        <v>2</v>
      </c>
      <c r="D9" s="33">
        <v>1000</v>
      </c>
      <c r="E9" s="33">
        <f t="shared" ca="1" si="0"/>
        <v>2000</v>
      </c>
      <c r="F9" s="28" t="str">
        <f t="shared" ca="1" si="1"/>
        <v>振込</v>
      </c>
      <c r="G9" s="24" t="s">
        <v>384</v>
      </c>
      <c r="I9" s="64">
        <v>45152</v>
      </c>
      <c r="K9" s="29" t="str">
        <f>給与集計!B10</f>
        <v>000006</v>
      </c>
      <c r="L9" s="1" t="str">
        <f>給与集計!D10</f>
        <v>サンプル　太郎6</v>
      </c>
      <c r="M9" s="28"/>
      <c r="N9" s="33">
        <v>59600</v>
      </c>
      <c r="O9" s="33">
        <f t="shared" si="2"/>
        <v>0</v>
      </c>
      <c r="P9" s="28"/>
      <c r="Q9" s="33">
        <v>30400</v>
      </c>
      <c r="R9" s="33">
        <f t="shared" si="3"/>
        <v>0</v>
      </c>
      <c r="S9" s="33">
        <f t="shared" si="4"/>
        <v>0</v>
      </c>
      <c r="T9" s="69"/>
      <c r="U9" s="33">
        <f t="shared" si="5"/>
        <v>0</v>
      </c>
      <c r="V9" s="28" t="str">
        <f t="shared" si="6"/>
        <v/>
      </c>
      <c r="W9" s="26"/>
    </row>
    <row r="10" spans="1:23">
      <c r="A10" s="29" t="str">
        <f>給与集計!B11</f>
        <v>000007</v>
      </c>
      <c r="B10" s="1" t="str">
        <f>給与集計!D11</f>
        <v>サンプル　太郎7</v>
      </c>
      <c r="C10" s="28">
        <f ca="1">給与集計!Y11</f>
        <v>3</v>
      </c>
      <c r="D10" s="33">
        <v>1000</v>
      </c>
      <c r="E10" s="33">
        <f t="shared" ca="1" si="0"/>
        <v>3000</v>
      </c>
      <c r="F10" s="28" t="str">
        <f t="shared" ca="1" si="1"/>
        <v>振込</v>
      </c>
      <c r="G10" s="24" t="s">
        <v>385</v>
      </c>
      <c r="I10" s="64">
        <v>45153</v>
      </c>
      <c r="K10" s="29" t="str">
        <f>給与集計!B11</f>
        <v>000007</v>
      </c>
      <c r="L10" s="1" t="str">
        <f>給与集計!D11</f>
        <v>サンプル　太郎7</v>
      </c>
      <c r="M10" s="28"/>
      <c r="N10" s="33">
        <v>59600</v>
      </c>
      <c r="O10" s="33">
        <f t="shared" si="2"/>
        <v>0</v>
      </c>
      <c r="P10" s="28"/>
      <c r="Q10" s="33">
        <v>30400</v>
      </c>
      <c r="R10" s="33">
        <f t="shared" si="3"/>
        <v>0</v>
      </c>
      <c r="S10" s="33">
        <f t="shared" si="4"/>
        <v>0</v>
      </c>
      <c r="T10" s="69"/>
      <c r="U10" s="33">
        <f t="shared" si="5"/>
        <v>0</v>
      </c>
      <c r="V10" s="28" t="str">
        <f t="shared" si="6"/>
        <v/>
      </c>
      <c r="W10" s="26"/>
    </row>
    <row r="11" spans="1:23">
      <c r="A11" s="29" t="str">
        <f>給与集計!B12</f>
        <v>000008</v>
      </c>
      <c r="B11" s="1" t="str">
        <f>給与集計!D12</f>
        <v>サンプル　太郎8</v>
      </c>
      <c r="C11" s="28">
        <f ca="1">給与集計!Y12</f>
        <v>0</v>
      </c>
      <c r="D11" s="33">
        <v>1000</v>
      </c>
      <c r="E11" s="33">
        <f t="shared" ca="1" si="0"/>
        <v>0</v>
      </c>
      <c r="F11" s="28" t="str">
        <f t="shared" ca="1" si="1"/>
        <v/>
      </c>
      <c r="G11" s="24"/>
      <c r="I11" s="64">
        <v>45289</v>
      </c>
      <c r="K11" s="29" t="str">
        <f>給与集計!B12</f>
        <v>000008</v>
      </c>
      <c r="L11" s="1" t="str">
        <f>給与集計!D12</f>
        <v>サンプル　太郎8</v>
      </c>
      <c r="M11" s="28"/>
      <c r="N11" s="33">
        <v>59600</v>
      </c>
      <c r="O11" s="33">
        <f t="shared" si="2"/>
        <v>0</v>
      </c>
      <c r="P11" s="28"/>
      <c r="Q11" s="33">
        <v>30400</v>
      </c>
      <c r="R11" s="33">
        <f t="shared" si="3"/>
        <v>0</v>
      </c>
      <c r="S11" s="33">
        <f t="shared" si="4"/>
        <v>0</v>
      </c>
      <c r="T11" s="69"/>
      <c r="U11" s="33">
        <f t="shared" si="5"/>
        <v>0</v>
      </c>
      <c r="V11" s="28" t="str">
        <f t="shared" si="6"/>
        <v/>
      </c>
      <c r="W11" s="26"/>
    </row>
    <row r="12" spans="1:23">
      <c r="A12" s="29" t="str">
        <f>給与集計!B13</f>
        <v>000009</v>
      </c>
      <c r="B12" s="1" t="str">
        <f>給与集計!D13</f>
        <v>サンプル　太郎9</v>
      </c>
      <c r="C12" s="28">
        <f ca="1">給与集計!Y13</f>
        <v>1</v>
      </c>
      <c r="D12" s="33">
        <v>1000</v>
      </c>
      <c r="E12" s="33">
        <f t="shared" ca="1" si="0"/>
        <v>1000</v>
      </c>
      <c r="F12" s="28" t="str">
        <f t="shared" ca="1" si="1"/>
        <v>振込</v>
      </c>
      <c r="G12" s="24" t="s">
        <v>386</v>
      </c>
      <c r="I12" s="64">
        <v>45290</v>
      </c>
      <c r="K12" s="29" t="str">
        <f>給与集計!B13</f>
        <v>000009</v>
      </c>
      <c r="L12" s="1" t="str">
        <f>給与集計!D13</f>
        <v>サンプル　太郎9</v>
      </c>
      <c r="M12" s="28"/>
      <c r="N12" s="33">
        <v>59600</v>
      </c>
      <c r="O12" s="33">
        <f t="shared" si="2"/>
        <v>0</v>
      </c>
      <c r="P12" s="28"/>
      <c r="Q12" s="33">
        <v>30400</v>
      </c>
      <c r="R12" s="33">
        <f t="shared" si="3"/>
        <v>0</v>
      </c>
      <c r="S12" s="33">
        <f t="shared" si="4"/>
        <v>0</v>
      </c>
      <c r="T12" s="69"/>
      <c r="U12" s="33">
        <f t="shared" si="5"/>
        <v>0</v>
      </c>
      <c r="V12" s="28" t="str">
        <f t="shared" si="6"/>
        <v/>
      </c>
      <c r="W12" s="26"/>
    </row>
    <row r="13" spans="1:23">
      <c r="A13" s="29" t="str">
        <f>給与集計!B14</f>
        <v>000010</v>
      </c>
      <c r="B13" s="1" t="str">
        <f>給与集計!D14</f>
        <v>サンプル　太郎10</v>
      </c>
      <c r="C13" s="28">
        <f ca="1">給与集計!Y14</f>
        <v>0</v>
      </c>
      <c r="D13" s="33">
        <v>1000</v>
      </c>
      <c r="E13" s="33">
        <f t="shared" ca="1" si="0"/>
        <v>0</v>
      </c>
      <c r="F13" s="28" t="str">
        <f t="shared" ca="1" si="1"/>
        <v/>
      </c>
      <c r="G13" s="24"/>
      <c r="I13" s="64">
        <v>45291</v>
      </c>
      <c r="K13" s="29" t="str">
        <f>給与集計!B14</f>
        <v>000010</v>
      </c>
      <c r="L13" s="1" t="str">
        <f>給与集計!D14</f>
        <v>サンプル　太郎10</v>
      </c>
      <c r="M13" s="28"/>
      <c r="N13" s="33">
        <v>59600</v>
      </c>
      <c r="O13" s="33">
        <f t="shared" si="2"/>
        <v>0</v>
      </c>
      <c r="P13" s="28"/>
      <c r="Q13" s="33">
        <v>30400</v>
      </c>
      <c r="R13" s="33">
        <f t="shared" si="3"/>
        <v>0</v>
      </c>
      <c r="S13" s="33">
        <f t="shared" si="4"/>
        <v>0</v>
      </c>
      <c r="T13" s="69"/>
      <c r="U13" s="33">
        <f t="shared" si="5"/>
        <v>0</v>
      </c>
      <c r="V13" s="28" t="str">
        <f t="shared" si="6"/>
        <v/>
      </c>
      <c r="W13" s="26"/>
    </row>
    <row r="14" spans="1:23">
      <c r="A14" s="29" t="str">
        <f>給与集計!B15</f>
        <v>000011</v>
      </c>
      <c r="B14" s="1" t="str">
        <f>給与集計!D15</f>
        <v>サンプル　太郎11</v>
      </c>
      <c r="C14" s="28">
        <f ca="1">給与集計!Y15</f>
        <v>0</v>
      </c>
      <c r="D14" s="33">
        <v>1000</v>
      </c>
      <c r="E14" s="33">
        <f t="shared" ca="1" si="0"/>
        <v>0</v>
      </c>
      <c r="F14" s="28" t="str">
        <f t="shared" ca="1" si="1"/>
        <v/>
      </c>
      <c r="G14" s="24"/>
      <c r="I14" s="64">
        <v>45292</v>
      </c>
      <c r="K14" s="29" t="str">
        <f>給与集計!B15</f>
        <v>000011</v>
      </c>
      <c r="L14" s="1" t="str">
        <f>給与集計!D15</f>
        <v>サンプル　太郎11</v>
      </c>
      <c r="M14" s="28"/>
      <c r="N14" s="33">
        <v>59600</v>
      </c>
      <c r="O14" s="33">
        <f t="shared" si="2"/>
        <v>0</v>
      </c>
      <c r="P14" s="28"/>
      <c r="Q14" s="33">
        <v>30400</v>
      </c>
      <c r="R14" s="33">
        <f t="shared" si="3"/>
        <v>0</v>
      </c>
      <c r="S14" s="33">
        <f t="shared" si="4"/>
        <v>0</v>
      </c>
      <c r="T14" s="69"/>
      <c r="U14" s="33">
        <f t="shared" si="5"/>
        <v>0</v>
      </c>
      <c r="V14" s="28" t="str">
        <f t="shared" si="6"/>
        <v/>
      </c>
      <c r="W14" s="26"/>
    </row>
    <row r="15" spans="1:23">
      <c r="A15" s="29" t="str">
        <f>給与集計!B16</f>
        <v>000012</v>
      </c>
      <c r="B15" s="1" t="str">
        <f>給与集計!D16</f>
        <v>サンプル　太郎12</v>
      </c>
      <c r="C15" s="28">
        <f ca="1">給与集計!Y16</f>
        <v>1</v>
      </c>
      <c r="D15" s="33">
        <v>1000</v>
      </c>
      <c r="E15" s="33">
        <f t="shared" ca="1" si="0"/>
        <v>1000</v>
      </c>
      <c r="F15" s="28" t="str">
        <f t="shared" ca="1" si="1"/>
        <v>振込</v>
      </c>
      <c r="G15" s="24" t="s">
        <v>386</v>
      </c>
      <c r="I15" s="64">
        <v>45293</v>
      </c>
      <c r="K15" s="29" t="str">
        <f>給与集計!B16</f>
        <v>000012</v>
      </c>
      <c r="L15" s="1" t="str">
        <f>給与集計!D16</f>
        <v>サンプル　太郎12</v>
      </c>
      <c r="M15" s="28"/>
      <c r="N15" s="33">
        <v>59600</v>
      </c>
      <c r="O15" s="33">
        <f t="shared" si="2"/>
        <v>0</v>
      </c>
      <c r="P15" s="28"/>
      <c r="Q15" s="33">
        <v>30400</v>
      </c>
      <c r="R15" s="33">
        <f t="shared" si="3"/>
        <v>0</v>
      </c>
      <c r="S15" s="33">
        <f t="shared" si="4"/>
        <v>0</v>
      </c>
      <c r="T15" s="69"/>
      <c r="U15" s="33">
        <f t="shared" si="5"/>
        <v>0</v>
      </c>
      <c r="V15" s="28" t="str">
        <f t="shared" si="6"/>
        <v/>
      </c>
      <c r="W15" s="26"/>
    </row>
    <row r="16" spans="1:23">
      <c r="A16" s="29" t="str">
        <f>給与集計!B17</f>
        <v>000013</v>
      </c>
      <c r="B16" s="1" t="str">
        <f>給与集計!D17</f>
        <v>サンプル　太郎13</v>
      </c>
      <c r="C16" s="28">
        <f ca="1">給与集計!Y17</f>
        <v>1</v>
      </c>
      <c r="D16" s="33">
        <v>1000</v>
      </c>
      <c r="E16" s="33">
        <f t="shared" ca="1" si="0"/>
        <v>1000</v>
      </c>
      <c r="F16" s="28" t="str">
        <f t="shared" ca="1" si="1"/>
        <v>振込</v>
      </c>
      <c r="G16" s="24" t="s">
        <v>381</v>
      </c>
      <c r="I16" s="64">
        <v>45294</v>
      </c>
      <c r="K16" s="29" t="str">
        <f>給与集計!B17</f>
        <v>000013</v>
      </c>
      <c r="L16" s="1" t="str">
        <f>給与集計!D17</f>
        <v>サンプル　太郎13</v>
      </c>
      <c r="M16" s="28"/>
      <c r="N16" s="33">
        <v>59600</v>
      </c>
      <c r="O16" s="33">
        <f t="shared" si="2"/>
        <v>0</v>
      </c>
      <c r="P16" s="28"/>
      <c r="Q16" s="33">
        <v>30400</v>
      </c>
      <c r="R16" s="33">
        <f t="shared" si="3"/>
        <v>0</v>
      </c>
      <c r="S16" s="33">
        <f t="shared" si="4"/>
        <v>0</v>
      </c>
      <c r="T16" s="69"/>
      <c r="U16" s="33">
        <f t="shared" si="5"/>
        <v>0</v>
      </c>
      <c r="V16" s="28" t="str">
        <f t="shared" si="6"/>
        <v/>
      </c>
      <c r="W16" s="26"/>
    </row>
    <row r="17" spans="1:23">
      <c r="A17" s="29" t="str">
        <f>給与集計!B18</f>
        <v>000014</v>
      </c>
      <c r="B17" s="1" t="str">
        <f>給与集計!D18</f>
        <v>サンプル　太郎14</v>
      </c>
      <c r="C17" s="28">
        <f ca="1">給与集計!Y18</f>
        <v>2</v>
      </c>
      <c r="D17" s="33">
        <v>1000</v>
      </c>
      <c r="E17" s="33">
        <f t="shared" ca="1" si="0"/>
        <v>2000</v>
      </c>
      <c r="F17" s="28" t="str">
        <f t="shared" ca="1" si="1"/>
        <v>振込</v>
      </c>
      <c r="G17" s="24" t="s">
        <v>387</v>
      </c>
      <c r="I17" s="64"/>
      <c r="K17" s="29" t="str">
        <f>給与集計!B18</f>
        <v>000014</v>
      </c>
      <c r="L17" s="1" t="str">
        <f>給与集計!D18</f>
        <v>サンプル　太郎14</v>
      </c>
      <c r="M17" s="28"/>
      <c r="N17" s="33">
        <v>59600</v>
      </c>
      <c r="O17" s="33">
        <f t="shared" si="2"/>
        <v>0</v>
      </c>
      <c r="P17" s="28"/>
      <c r="Q17" s="33">
        <v>30400</v>
      </c>
      <c r="R17" s="33">
        <f t="shared" si="3"/>
        <v>0</v>
      </c>
      <c r="S17" s="33">
        <f t="shared" si="4"/>
        <v>0</v>
      </c>
      <c r="T17" s="69"/>
      <c r="U17" s="33">
        <f t="shared" si="5"/>
        <v>0</v>
      </c>
      <c r="V17" s="28" t="str">
        <f t="shared" si="6"/>
        <v/>
      </c>
      <c r="W17" s="26"/>
    </row>
    <row r="18" spans="1:23">
      <c r="A18" s="29" t="str">
        <f>給与集計!B19</f>
        <v>000015</v>
      </c>
      <c r="B18" s="1" t="str">
        <f>給与集計!D19</f>
        <v>サンプル　太郎15</v>
      </c>
      <c r="C18" s="28">
        <f ca="1">給与集計!Y19</f>
        <v>1</v>
      </c>
      <c r="D18" s="33">
        <v>1000</v>
      </c>
      <c r="E18" s="33">
        <f t="shared" ca="1" si="0"/>
        <v>1000</v>
      </c>
      <c r="F18" s="28" t="str">
        <f t="shared" ca="1" si="1"/>
        <v>振込</v>
      </c>
      <c r="G18" s="24" t="s">
        <v>388</v>
      </c>
      <c r="I18" s="64"/>
      <c r="K18" s="29" t="str">
        <f>給与集計!B19</f>
        <v>000015</v>
      </c>
      <c r="L18" s="1" t="str">
        <f>給与集計!D19</f>
        <v>サンプル　太郎15</v>
      </c>
      <c r="M18" s="28"/>
      <c r="N18" s="33">
        <v>59600</v>
      </c>
      <c r="O18" s="33">
        <f t="shared" si="2"/>
        <v>0</v>
      </c>
      <c r="P18" s="28"/>
      <c r="Q18" s="33">
        <v>30400</v>
      </c>
      <c r="R18" s="33">
        <f t="shared" si="3"/>
        <v>0</v>
      </c>
      <c r="S18" s="33">
        <f t="shared" si="4"/>
        <v>0</v>
      </c>
      <c r="T18" s="69"/>
      <c r="U18" s="33">
        <f t="shared" si="5"/>
        <v>0</v>
      </c>
      <c r="V18" s="28" t="str">
        <f t="shared" si="6"/>
        <v/>
      </c>
      <c r="W18" s="26"/>
    </row>
    <row r="19" spans="1:23">
      <c r="A19" s="29" t="str">
        <f>給与集計!B20</f>
        <v>000016</v>
      </c>
      <c r="B19" s="1" t="str">
        <f>給与集計!D20</f>
        <v>サンプル　太郎16</v>
      </c>
      <c r="C19" s="28">
        <f ca="1">給与集計!Y20</f>
        <v>0</v>
      </c>
      <c r="D19" s="33">
        <v>1000</v>
      </c>
      <c r="E19" s="33">
        <f t="shared" ca="1" si="0"/>
        <v>0</v>
      </c>
      <c r="F19" s="28" t="str">
        <f t="shared" ca="1" si="1"/>
        <v/>
      </c>
      <c r="G19" s="24"/>
      <c r="I19" s="64"/>
      <c r="K19" s="29" t="str">
        <f>給与集計!B20</f>
        <v>000016</v>
      </c>
      <c r="L19" s="1" t="str">
        <f>給与集計!D20</f>
        <v>サンプル　太郎16</v>
      </c>
      <c r="M19" s="28"/>
      <c r="N19" s="33">
        <v>59600</v>
      </c>
      <c r="O19" s="33">
        <f t="shared" si="2"/>
        <v>0</v>
      </c>
      <c r="P19" s="28"/>
      <c r="Q19" s="33">
        <v>30400</v>
      </c>
      <c r="R19" s="33">
        <f t="shared" si="3"/>
        <v>0</v>
      </c>
      <c r="S19" s="33">
        <f t="shared" si="4"/>
        <v>0</v>
      </c>
      <c r="T19" s="69"/>
      <c r="U19" s="33">
        <f t="shared" si="5"/>
        <v>0</v>
      </c>
      <c r="V19" s="28" t="str">
        <f t="shared" si="6"/>
        <v/>
      </c>
      <c r="W19" s="26"/>
    </row>
    <row r="20" spans="1:23">
      <c r="A20" s="29" t="str">
        <f>給与集計!B21</f>
        <v>000017</v>
      </c>
      <c r="B20" s="1" t="str">
        <f>給与集計!D21</f>
        <v>サンプル　太郎17</v>
      </c>
      <c r="C20" s="28">
        <f ca="1">給与集計!Y21</f>
        <v>1</v>
      </c>
      <c r="D20" s="33">
        <v>1000</v>
      </c>
      <c r="E20" s="33">
        <f t="shared" ca="1" si="0"/>
        <v>1000</v>
      </c>
      <c r="F20" s="28" t="str">
        <f t="shared" ca="1" si="1"/>
        <v>振込</v>
      </c>
      <c r="G20" s="24" t="s">
        <v>389</v>
      </c>
      <c r="I20" s="64"/>
      <c r="K20" s="29" t="str">
        <f>給与集計!B21</f>
        <v>000017</v>
      </c>
      <c r="L20" s="1" t="str">
        <f>給与集計!D21</f>
        <v>サンプル　太郎17</v>
      </c>
      <c r="M20" s="28">
        <v>1</v>
      </c>
      <c r="N20" s="33">
        <v>59600</v>
      </c>
      <c r="O20" s="33">
        <f t="shared" si="2"/>
        <v>59600</v>
      </c>
      <c r="P20" s="28"/>
      <c r="Q20" s="33">
        <v>30400</v>
      </c>
      <c r="R20" s="33">
        <f t="shared" si="3"/>
        <v>0</v>
      </c>
      <c r="S20" s="33">
        <f t="shared" si="4"/>
        <v>59600</v>
      </c>
      <c r="T20" s="69"/>
      <c r="U20" s="33">
        <f t="shared" si="5"/>
        <v>59600</v>
      </c>
      <c r="V20" s="28" t="str">
        <f t="shared" si="6"/>
        <v>振込</v>
      </c>
      <c r="W20" s="26" t="s">
        <v>380</v>
      </c>
    </row>
    <row r="21" spans="1:23">
      <c r="A21" s="29" t="str">
        <f>給与集計!B22</f>
        <v>000018</v>
      </c>
      <c r="B21" s="1" t="str">
        <f>給与集計!D22</f>
        <v>サンプル　太郎18</v>
      </c>
      <c r="C21" s="28">
        <f ca="1">給与集計!Y22</f>
        <v>0</v>
      </c>
      <c r="D21" s="33">
        <v>1000</v>
      </c>
      <c r="E21" s="33">
        <f t="shared" ca="1" si="0"/>
        <v>0</v>
      </c>
      <c r="F21" s="28" t="str">
        <f t="shared" ca="1" si="1"/>
        <v/>
      </c>
      <c r="G21" s="24"/>
      <c r="I21" s="64"/>
      <c r="K21" s="29" t="str">
        <f>給与集計!B22</f>
        <v>000018</v>
      </c>
      <c r="L21" s="1" t="str">
        <f>給与集計!D22</f>
        <v>サンプル　太郎18</v>
      </c>
      <c r="M21" s="28"/>
      <c r="N21" s="33">
        <v>59600</v>
      </c>
      <c r="O21" s="33">
        <f t="shared" si="2"/>
        <v>0</v>
      </c>
      <c r="P21" s="28"/>
      <c r="Q21" s="33">
        <v>30400</v>
      </c>
      <c r="R21" s="33">
        <f t="shared" si="3"/>
        <v>0</v>
      </c>
      <c r="S21" s="33">
        <f t="shared" si="4"/>
        <v>0</v>
      </c>
      <c r="T21" s="69"/>
      <c r="U21" s="33">
        <f t="shared" si="5"/>
        <v>0</v>
      </c>
      <c r="V21" s="28" t="str">
        <f t="shared" si="6"/>
        <v/>
      </c>
      <c r="W21" s="26"/>
    </row>
    <row r="22" spans="1:23">
      <c r="A22" s="29" t="str">
        <f>給与集計!B23</f>
        <v>000019</v>
      </c>
      <c r="B22" s="1" t="str">
        <f>給与集計!D23</f>
        <v>サンプル　太郎19</v>
      </c>
      <c r="C22" s="28">
        <f ca="1">給与集計!Y23</f>
        <v>0</v>
      </c>
      <c r="D22" s="33">
        <v>1000</v>
      </c>
      <c r="E22" s="33">
        <f t="shared" ca="1" si="0"/>
        <v>0</v>
      </c>
      <c r="F22" s="28" t="str">
        <f t="shared" ca="1" si="1"/>
        <v/>
      </c>
      <c r="G22" s="24"/>
      <c r="I22" s="64"/>
      <c r="K22" s="29" t="str">
        <f>給与集計!B23</f>
        <v>000019</v>
      </c>
      <c r="L22" s="1" t="str">
        <f>給与集計!D23</f>
        <v>サンプル　太郎19</v>
      </c>
      <c r="M22" s="28"/>
      <c r="N22" s="33">
        <v>59600</v>
      </c>
      <c r="O22" s="33">
        <f t="shared" si="2"/>
        <v>0</v>
      </c>
      <c r="P22" s="28"/>
      <c r="Q22" s="33">
        <v>30400</v>
      </c>
      <c r="R22" s="33">
        <f t="shared" si="3"/>
        <v>0</v>
      </c>
      <c r="S22" s="33">
        <f t="shared" si="4"/>
        <v>0</v>
      </c>
      <c r="T22" s="69"/>
      <c r="U22" s="33">
        <f t="shared" si="5"/>
        <v>0</v>
      </c>
      <c r="V22" s="28" t="str">
        <f t="shared" si="6"/>
        <v/>
      </c>
      <c r="W22" s="26"/>
    </row>
    <row r="23" spans="1:23" ht="18.600000000000001" thickBot="1">
      <c r="A23" s="29" t="str">
        <f>給与集計!B24</f>
        <v>000020</v>
      </c>
      <c r="B23" s="1" t="str">
        <f>給与集計!D24</f>
        <v>サンプル　太郎20</v>
      </c>
      <c r="C23" s="28">
        <f ca="1">給与集計!Y24</f>
        <v>7</v>
      </c>
      <c r="D23" s="33">
        <v>1000</v>
      </c>
      <c r="E23" s="33">
        <f t="shared" ca="1" si="0"/>
        <v>7000</v>
      </c>
      <c r="F23" s="28" t="str">
        <f t="shared" ca="1" si="1"/>
        <v>振込</v>
      </c>
      <c r="G23" s="24" t="s">
        <v>390</v>
      </c>
      <c r="I23" s="65"/>
      <c r="K23" s="29" t="str">
        <f>給与集計!B24</f>
        <v>000020</v>
      </c>
      <c r="L23" s="1" t="str">
        <f>給与集計!D24</f>
        <v>サンプル　太郎20</v>
      </c>
      <c r="M23" s="28"/>
      <c r="N23" s="33">
        <v>59600</v>
      </c>
      <c r="O23" s="33">
        <f t="shared" si="2"/>
        <v>0</v>
      </c>
      <c r="P23" s="28"/>
      <c r="Q23" s="33">
        <v>30400</v>
      </c>
      <c r="R23" s="33">
        <f t="shared" si="3"/>
        <v>0</v>
      </c>
      <c r="S23" s="33">
        <f t="shared" si="4"/>
        <v>0</v>
      </c>
      <c r="T23" s="69"/>
      <c r="U23" s="33">
        <f t="shared" si="5"/>
        <v>0</v>
      </c>
      <c r="V23" s="28" t="str">
        <f t="shared" si="6"/>
        <v/>
      </c>
      <c r="W23" s="26"/>
    </row>
    <row r="24" spans="1:23">
      <c r="A24" s="29" t="str">
        <f>給与集計!B25</f>
        <v>000021</v>
      </c>
      <c r="B24" s="1" t="str">
        <f>給与集計!D25</f>
        <v>サンプル　太郎21</v>
      </c>
      <c r="C24" s="28">
        <f ca="1">給与集計!Y25</f>
        <v>4</v>
      </c>
      <c r="D24" s="33">
        <v>1000</v>
      </c>
      <c r="E24" s="33">
        <f t="shared" ca="1" si="0"/>
        <v>4000</v>
      </c>
      <c r="F24" s="28" t="str">
        <f t="shared" ca="1" si="1"/>
        <v>振込</v>
      </c>
      <c r="G24" s="24" t="s">
        <v>391</v>
      </c>
      <c r="K24" s="29" t="str">
        <f>給与集計!B25</f>
        <v>000021</v>
      </c>
      <c r="L24" s="1" t="str">
        <f>給与集計!D25</f>
        <v>サンプル　太郎21</v>
      </c>
      <c r="M24" s="28">
        <v>1</v>
      </c>
      <c r="N24" s="33">
        <v>59600</v>
      </c>
      <c r="O24" s="33">
        <f t="shared" si="2"/>
        <v>59600</v>
      </c>
      <c r="P24" s="28">
        <v>1</v>
      </c>
      <c r="Q24" s="33">
        <v>30400</v>
      </c>
      <c r="R24" s="33">
        <f t="shared" si="3"/>
        <v>30400</v>
      </c>
      <c r="S24" s="33">
        <f t="shared" si="4"/>
        <v>90000</v>
      </c>
      <c r="T24" s="69"/>
      <c r="U24" s="33">
        <f t="shared" si="5"/>
        <v>90000</v>
      </c>
      <c r="V24" s="28" t="str">
        <f t="shared" si="6"/>
        <v>振込</v>
      </c>
      <c r="W24" s="26" t="s">
        <v>380</v>
      </c>
    </row>
    <row r="25" spans="1:23">
      <c r="A25" s="29" t="str">
        <f>給与集計!B26</f>
        <v>000022</v>
      </c>
      <c r="B25" s="1" t="str">
        <f>給与集計!D26</f>
        <v>サンプル　太郎22</v>
      </c>
      <c r="C25" s="28">
        <f ca="1">給与集計!Y26</f>
        <v>0</v>
      </c>
      <c r="D25" s="33">
        <v>1000</v>
      </c>
      <c r="E25" s="33">
        <f t="shared" ca="1" si="0"/>
        <v>0</v>
      </c>
      <c r="F25" s="28" t="str">
        <f t="shared" ca="1" si="1"/>
        <v/>
      </c>
      <c r="G25" s="24"/>
      <c r="K25" s="29" t="str">
        <f>給与集計!B26</f>
        <v>000022</v>
      </c>
      <c r="L25" s="1" t="str">
        <f>給与集計!D26</f>
        <v>サンプル　太郎22</v>
      </c>
      <c r="M25" s="28"/>
      <c r="N25" s="33">
        <v>59600</v>
      </c>
      <c r="O25" s="33">
        <f t="shared" si="2"/>
        <v>0</v>
      </c>
      <c r="P25" s="28"/>
      <c r="Q25" s="33">
        <v>30400</v>
      </c>
      <c r="R25" s="33">
        <f t="shared" si="3"/>
        <v>0</v>
      </c>
      <c r="S25" s="33">
        <f t="shared" si="4"/>
        <v>0</v>
      </c>
      <c r="T25" s="69"/>
      <c r="U25" s="33">
        <f t="shared" si="5"/>
        <v>0</v>
      </c>
      <c r="V25" s="28" t="str">
        <f t="shared" si="6"/>
        <v/>
      </c>
      <c r="W25" s="26"/>
    </row>
    <row r="26" spans="1:23">
      <c r="A26" s="29" t="str">
        <f>給与集計!B27</f>
        <v>000023</v>
      </c>
      <c r="B26" s="1" t="str">
        <f>給与集計!D27</f>
        <v>サンプル　太郎23</v>
      </c>
      <c r="C26" s="28">
        <f ca="1">給与集計!Y27</f>
        <v>0</v>
      </c>
      <c r="D26" s="33">
        <v>1000</v>
      </c>
      <c r="E26" s="33">
        <f t="shared" ca="1" si="0"/>
        <v>0</v>
      </c>
      <c r="F26" s="28" t="str">
        <f t="shared" ca="1" si="1"/>
        <v/>
      </c>
      <c r="G26" s="24"/>
      <c r="K26" s="29" t="str">
        <f>給与集計!B27</f>
        <v>000023</v>
      </c>
      <c r="L26" s="1" t="str">
        <f>給与集計!D27</f>
        <v>サンプル　太郎23</v>
      </c>
      <c r="M26" s="28"/>
      <c r="N26" s="33">
        <v>59600</v>
      </c>
      <c r="O26" s="33">
        <f t="shared" si="2"/>
        <v>0</v>
      </c>
      <c r="P26" s="28"/>
      <c r="Q26" s="33">
        <v>30400</v>
      </c>
      <c r="R26" s="33">
        <f t="shared" si="3"/>
        <v>0</v>
      </c>
      <c r="S26" s="33">
        <f t="shared" si="4"/>
        <v>0</v>
      </c>
      <c r="T26" s="69"/>
      <c r="U26" s="33">
        <f t="shared" si="5"/>
        <v>0</v>
      </c>
      <c r="V26" s="28" t="str">
        <f t="shared" si="6"/>
        <v/>
      </c>
      <c r="W26" s="26"/>
    </row>
    <row r="27" spans="1:23">
      <c r="A27" s="29" t="str">
        <f>給与集計!B28</f>
        <v>000024</v>
      </c>
      <c r="B27" s="1" t="str">
        <f>給与集計!D28</f>
        <v>サンプル　太郎24</v>
      </c>
      <c r="C27" s="28">
        <f ca="1">給与集計!Y28</f>
        <v>0</v>
      </c>
      <c r="D27" s="33">
        <v>1000</v>
      </c>
      <c r="E27" s="33">
        <f t="shared" ca="1" si="0"/>
        <v>0</v>
      </c>
      <c r="F27" s="28" t="str">
        <f t="shared" ca="1" si="1"/>
        <v/>
      </c>
      <c r="G27" s="24"/>
      <c r="K27" s="29" t="str">
        <f>給与集計!B28</f>
        <v>000024</v>
      </c>
      <c r="L27" s="1" t="str">
        <f>給与集計!D28</f>
        <v>サンプル　太郎24</v>
      </c>
      <c r="M27" s="28"/>
      <c r="N27" s="33">
        <v>59600</v>
      </c>
      <c r="O27" s="33">
        <f t="shared" si="2"/>
        <v>0</v>
      </c>
      <c r="P27" s="28"/>
      <c r="Q27" s="33">
        <v>30400</v>
      </c>
      <c r="R27" s="33">
        <f t="shared" si="3"/>
        <v>0</v>
      </c>
      <c r="S27" s="33">
        <f t="shared" si="4"/>
        <v>0</v>
      </c>
      <c r="T27" s="69"/>
      <c r="U27" s="33">
        <f t="shared" si="5"/>
        <v>0</v>
      </c>
      <c r="V27" s="28" t="str">
        <f t="shared" si="6"/>
        <v/>
      </c>
      <c r="W27" s="26"/>
    </row>
    <row r="28" spans="1:23">
      <c r="A28" s="29" t="str">
        <f>給与集計!B29</f>
        <v>000025</v>
      </c>
      <c r="B28" s="1" t="str">
        <f>給与集計!D29</f>
        <v>サンプル　太郎25</v>
      </c>
      <c r="C28" s="28">
        <f ca="1">給与集計!Y29</f>
        <v>4</v>
      </c>
      <c r="D28" s="33">
        <v>1000</v>
      </c>
      <c r="E28" s="33">
        <f t="shared" ca="1" si="0"/>
        <v>4000</v>
      </c>
      <c r="F28" s="28" t="str">
        <f t="shared" ca="1" si="1"/>
        <v>振込</v>
      </c>
      <c r="G28" s="24" t="s">
        <v>392</v>
      </c>
      <c r="K28" s="29" t="str">
        <f>給与集計!B29</f>
        <v>000025</v>
      </c>
      <c r="L28" s="1" t="str">
        <f>給与集計!D29</f>
        <v>サンプル　太郎25</v>
      </c>
      <c r="M28" s="28"/>
      <c r="N28" s="33">
        <v>59600</v>
      </c>
      <c r="O28" s="33">
        <f t="shared" si="2"/>
        <v>0</v>
      </c>
      <c r="P28" s="28"/>
      <c r="Q28" s="33">
        <v>30400</v>
      </c>
      <c r="R28" s="33">
        <f t="shared" si="3"/>
        <v>0</v>
      </c>
      <c r="S28" s="33">
        <f t="shared" si="4"/>
        <v>0</v>
      </c>
      <c r="T28" s="69"/>
      <c r="U28" s="33">
        <f t="shared" si="5"/>
        <v>0</v>
      </c>
      <c r="V28" s="28" t="str">
        <f t="shared" si="6"/>
        <v/>
      </c>
      <c r="W28" s="26"/>
    </row>
    <row r="29" spans="1:23">
      <c r="A29" s="29" t="str">
        <f>給与集計!B30</f>
        <v>000026</v>
      </c>
      <c r="B29" s="1" t="str">
        <f>給与集計!D30</f>
        <v>サンプル　太郎26</v>
      </c>
      <c r="C29" s="28">
        <f ca="1">給与集計!Y30</f>
        <v>1</v>
      </c>
      <c r="D29" s="33">
        <v>1000</v>
      </c>
      <c r="E29" s="33">
        <f t="shared" ca="1" si="0"/>
        <v>1000</v>
      </c>
      <c r="F29" s="28" t="str">
        <f t="shared" ca="1" si="1"/>
        <v>振込</v>
      </c>
      <c r="G29" s="24" t="s">
        <v>381</v>
      </c>
      <c r="K29" s="29" t="str">
        <f>給与集計!B30</f>
        <v>000026</v>
      </c>
      <c r="L29" s="1" t="str">
        <f>給与集計!D30</f>
        <v>サンプル　太郎26</v>
      </c>
      <c r="M29" s="28"/>
      <c r="N29" s="33">
        <v>59600</v>
      </c>
      <c r="O29" s="33">
        <f t="shared" si="2"/>
        <v>0</v>
      </c>
      <c r="P29" s="28"/>
      <c r="Q29" s="33">
        <v>30400</v>
      </c>
      <c r="R29" s="33">
        <f t="shared" si="3"/>
        <v>0</v>
      </c>
      <c r="S29" s="33">
        <f t="shared" si="4"/>
        <v>0</v>
      </c>
      <c r="T29" s="69"/>
      <c r="U29" s="33">
        <f t="shared" si="5"/>
        <v>0</v>
      </c>
      <c r="V29" s="28" t="str">
        <f t="shared" si="6"/>
        <v/>
      </c>
      <c r="W29" s="26"/>
    </row>
    <row r="30" spans="1:23">
      <c r="A30" s="29" t="str">
        <f>給与集計!B31</f>
        <v>000027</v>
      </c>
      <c r="B30" s="1" t="str">
        <f>給与集計!D31</f>
        <v>サンプル　太郎27</v>
      </c>
      <c r="C30" s="28">
        <f ca="1">給与集計!Y31</f>
        <v>2</v>
      </c>
      <c r="D30" s="33">
        <v>1000</v>
      </c>
      <c r="E30" s="33">
        <f t="shared" ca="1" si="0"/>
        <v>2000</v>
      </c>
      <c r="F30" s="28" t="str">
        <f t="shared" ca="1" si="1"/>
        <v>振込</v>
      </c>
      <c r="G30" s="24" t="s">
        <v>393</v>
      </c>
      <c r="K30" s="29" t="str">
        <f>給与集計!B31</f>
        <v>000027</v>
      </c>
      <c r="L30" s="1" t="str">
        <f>給与集計!D31</f>
        <v>サンプル　太郎27</v>
      </c>
      <c r="M30" s="28">
        <v>1</v>
      </c>
      <c r="N30" s="33">
        <v>59600</v>
      </c>
      <c r="O30" s="33">
        <f t="shared" si="2"/>
        <v>59600</v>
      </c>
      <c r="P30" s="28"/>
      <c r="Q30" s="33">
        <v>30400</v>
      </c>
      <c r="R30" s="33">
        <f t="shared" si="3"/>
        <v>0</v>
      </c>
      <c r="S30" s="33">
        <f t="shared" si="4"/>
        <v>59600</v>
      </c>
      <c r="T30" s="69"/>
      <c r="U30" s="33">
        <f t="shared" si="5"/>
        <v>59600</v>
      </c>
      <c r="V30" s="28" t="str">
        <f t="shared" si="6"/>
        <v>振込</v>
      </c>
      <c r="W30" s="26" t="s">
        <v>380</v>
      </c>
    </row>
    <row r="31" spans="1:23">
      <c r="A31" s="29" t="str">
        <f>給与集計!B32</f>
        <v>000028</v>
      </c>
      <c r="B31" s="1" t="str">
        <f>給与集計!D32</f>
        <v>サンプル　太郎28</v>
      </c>
      <c r="C31" s="28">
        <f ca="1">給与集計!Y32</f>
        <v>0</v>
      </c>
      <c r="D31" s="33">
        <v>1000</v>
      </c>
      <c r="E31" s="33">
        <f t="shared" ca="1" si="0"/>
        <v>0</v>
      </c>
      <c r="F31" s="28" t="str">
        <f t="shared" ca="1" si="1"/>
        <v/>
      </c>
      <c r="G31" s="24"/>
      <c r="K31" s="29" t="str">
        <f>給与集計!B32</f>
        <v>000028</v>
      </c>
      <c r="L31" s="1" t="str">
        <f>給与集計!D32</f>
        <v>サンプル　太郎28</v>
      </c>
      <c r="M31" s="28"/>
      <c r="N31" s="33">
        <v>59600</v>
      </c>
      <c r="O31" s="33">
        <f t="shared" si="2"/>
        <v>0</v>
      </c>
      <c r="P31" s="28"/>
      <c r="Q31" s="33">
        <v>30400</v>
      </c>
      <c r="R31" s="33">
        <f t="shared" si="3"/>
        <v>0</v>
      </c>
      <c r="S31" s="33">
        <f t="shared" si="4"/>
        <v>0</v>
      </c>
      <c r="T31" s="69"/>
      <c r="U31" s="33">
        <f t="shared" si="5"/>
        <v>0</v>
      </c>
      <c r="V31" s="28" t="str">
        <f t="shared" si="6"/>
        <v/>
      </c>
      <c r="W31" s="26"/>
    </row>
    <row r="32" spans="1:23">
      <c r="A32" s="29" t="str">
        <f>給与集計!B33</f>
        <v>000029</v>
      </c>
      <c r="B32" s="1" t="str">
        <f>給与集計!D33</f>
        <v>サンプル　太郎29</v>
      </c>
      <c r="C32" s="28">
        <f ca="1">給与集計!Y33</f>
        <v>4</v>
      </c>
      <c r="D32" s="33">
        <v>1000</v>
      </c>
      <c r="E32" s="33">
        <f t="shared" ca="1" si="0"/>
        <v>4000</v>
      </c>
      <c r="F32" s="28" t="str">
        <f t="shared" ca="1" si="1"/>
        <v>振込</v>
      </c>
      <c r="G32" s="24" t="s">
        <v>394</v>
      </c>
      <c r="K32" s="29" t="str">
        <f>給与集計!B33</f>
        <v>000029</v>
      </c>
      <c r="L32" s="1" t="str">
        <f>給与集計!D33</f>
        <v>サンプル　太郎29</v>
      </c>
      <c r="M32" s="28"/>
      <c r="N32" s="33">
        <v>59600</v>
      </c>
      <c r="O32" s="33">
        <f t="shared" si="2"/>
        <v>0</v>
      </c>
      <c r="P32" s="28"/>
      <c r="Q32" s="33">
        <v>30400</v>
      </c>
      <c r="R32" s="33">
        <f t="shared" si="3"/>
        <v>0</v>
      </c>
      <c r="S32" s="33">
        <f t="shared" si="4"/>
        <v>0</v>
      </c>
      <c r="T32" s="69"/>
      <c r="U32" s="33">
        <f t="shared" si="5"/>
        <v>0</v>
      </c>
      <c r="V32" s="28" t="str">
        <f t="shared" si="6"/>
        <v/>
      </c>
      <c r="W32" s="26"/>
    </row>
    <row r="33" spans="1:23">
      <c r="A33" s="29" t="str">
        <f>給与集計!B34</f>
        <v>000030</v>
      </c>
      <c r="B33" s="1" t="str">
        <f>給与集計!D34</f>
        <v>サンプル　太郎30</v>
      </c>
      <c r="C33" s="28">
        <f ca="1">給与集計!Y34</f>
        <v>1</v>
      </c>
      <c r="D33" s="33">
        <v>1000</v>
      </c>
      <c r="E33" s="33">
        <f t="shared" ca="1" si="0"/>
        <v>1000</v>
      </c>
      <c r="F33" s="28" t="str">
        <f t="shared" ca="1" si="1"/>
        <v>振込</v>
      </c>
      <c r="G33" s="24" t="s">
        <v>395</v>
      </c>
      <c r="K33" s="29" t="str">
        <f>給与集計!B34</f>
        <v>000030</v>
      </c>
      <c r="L33" s="1" t="str">
        <f>給与集計!D34</f>
        <v>サンプル　太郎30</v>
      </c>
      <c r="M33" s="28"/>
      <c r="N33" s="33">
        <v>59600</v>
      </c>
      <c r="O33" s="33">
        <f t="shared" si="2"/>
        <v>0</v>
      </c>
      <c r="P33" s="28"/>
      <c r="Q33" s="33">
        <v>30400</v>
      </c>
      <c r="R33" s="33">
        <f t="shared" si="3"/>
        <v>0</v>
      </c>
      <c r="S33" s="33">
        <f t="shared" si="4"/>
        <v>0</v>
      </c>
      <c r="T33" s="69"/>
      <c r="U33" s="33">
        <f t="shared" si="5"/>
        <v>0</v>
      </c>
      <c r="V33" s="28" t="str">
        <f t="shared" si="6"/>
        <v/>
      </c>
      <c r="W33" s="26"/>
    </row>
    <row r="34" spans="1:23">
      <c r="A34" s="29" t="str">
        <f>給与集計!B35</f>
        <v>000031</v>
      </c>
      <c r="B34" s="1" t="str">
        <f>給与集計!D35</f>
        <v>サンプル　太郎31</v>
      </c>
      <c r="C34" s="28">
        <f ca="1">給与集計!Y35</f>
        <v>1</v>
      </c>
      <c r="D34" s="33">
        <v>1000</v>
      </c>
      <c r="E34" s="33">
        <f t="shared" ca="1" si="0"/>
        <v>1000</v>
      </c>
      <c r="F34" s="28" t="str">
        <f t="shared" ca="1" si="1"/>
        <v>振込</v>
      </c>
      <c r="G34" s="24" t="s">
        <v>396</v>
      </c>
      <c r="K34" s="29" t="str">
        <f>給与集計!B35</f>
        <v>000031</v>
      </c>
      <c r="L34" s="1" t="str">
        <f>給与集計!D35</f>
        <v>サンプル　太郎31</v>
      </c>
      <c r="M34" s="28"/>
      <c r="N34" s="33">
        <v>59600</v>
      </c>
      <c r="O34" s="33">
        <f t="shared" si="2"/>
        <v>0</v>
      </c>
      <c r="P34" s="28"/>
      <c r="Q34" s="33">
        <v>30400</v>
      </c>
      <c r="R34" s="33">
        <f t="shared" si="3"/>
        <v>0</v>
      </c>
      <c r="S34" s="33">
        <f t="shared" si="4"/>
        <v>0</v>
      </c>
      <c r="T34" s="69"/>
      <c r="U34" s="33">
        <f t="shared" si="5"/>
        <v>0</v>
      </c>
      <c r="V34" s="28" t="str">
        <f t="shared" si="6"/>
        <v/>
      </c>
      <c r="W34" s="26"/>
    </row>
    <row r="35" spans="1:23">
      <c r="A35" s="29" t="str">
        <f>給与集計!B36</f>
        <v>000032</v>
      </c>
      <c r="B35" s="1" t="str">
        <f>給与集計!D36</f>
        <v>サンプル　太郎32</v>
      </c>
      <c r="C35" s="28">
        <f ca="1">給与集計!Y36</f>
        <v>0</v>
      </c>
      <c r="D35" s="33">
        <v>1000</v>
      </c>
      <c r="E35" s="33">
        <f t="shared" ca="1" si="0"/>
        <v>0</v>
      </c>
      <c r="F35" s="28" t="str">
        <f t="shared" ca="1" si="1"/>
        <v/>
      </c>
      <c r="G35" s="24"/>
      <c r="K35" s="29" t="str">
        <f>給与集計!B36</f>
        <v>000032</v>
      </c>
      <c r="L35" s="1" t="str">
        <f>給与集計!D36</f>
        <v>サンプル　太郎32</v>
      </c>
      <c r="M35" s="28"/>
      <c r="N35" s="33">
        <v>59600</v>
      </c>
      <c r="O35" s="33">
        <f t="shared" si="2"/>
        <v>0</v>
      </c>
      <c r="P35" s="28"/>
      <c r="Q35" s="33">
        <v>30400</v>
      </c>
      <c r="R35" s="33">
        <f t="shared" si="3"/>
        <v>0</v>
      </c>
      <c r="S35" s="33">
        <f t="shared" si="4"/>
        <v>0</v>
      </c>
      <c r="T35" s="69"/>
      <c r="U35" s="33">
        <f t="shared" si="5"/>
        <v>0</v>
      </c>
      <c r="V35" s="28" t="str">
        <f t="shared" si="6"/>
        <v/>
      </c>
      <c r="W35" s="26"/>
    </row>
    <row r="36" spans="1:23">
      <c r="A36" s="29" t="str">
        <f>給与集計!B37</f>
        <v>000033</v>
      </c>
      <c r="B36" s="1" t="str">
        <f>給与集計!D37</f>
        <v>サンプル　太郎33</v>
      </c>
      <c r="C36" s="28">
        <f ca="1">給与集計!Y37</f>
        <v>0</v>
      </c>
      <c r="D36" s="33">
        <v>1000</v>
      </c>
      <c r="E36" s="33">
        <f t="shared" ca="1" si="0"/>
        <v>0</v>
      </c>
      <c r="F36" s="28" t="str">
        <f t="shared" ca="1" si="1"/>
        <v/>
      </c>
      <c r="G36" s="24"/>
      <c r="K36" s="29" t="str">
        <f>給与集計!B37</f>
        <v>000033</v>
      </c>
      <c r="L36" s="1" t="str">
        <f>給与集計!D37</f>
        <v>サンプル　太郎33</v>
      </c>
      <c r="M36" s="28"/>
      <c r="N36" s="33">
        <v>59600</v>
      </c>
      <c r="O36" s="33">
        <f t="shared" si="2"/>
        <v>0</v>
      </c>
      <c r="P36" s="28"/>
      <c r="Q36" s="33">
        <v>30400</v>
      </c>
      <c r="R36" s="33">
        <f t="shared" si="3"/>
        <v>0</v>
      </c>
      <c r="S36" s="33">
        <f t="shared" si="4"/>
        <v>0</v>
      </c>
      <c r="T36" s="69"/>
      <c r="U36" s="33">
        <f t="shared" si="5"/>
        <v>0</v>
      </c>
      <c r="V36" s="28" t="str">
        <f t="shared" si="6"/>
        <v/>
      </c>
      <c r="W36" s="26"/>
    </row>
    <row r="37" spans="1:23">
      <c r="A37" s="29" t="str">
        <f>給与集計!B38</f>
        <v>000034</v>
      </c>
      <c r="B37" s="1" t="str">
        <f>給与集計!D38</f>
        <v>サンプル　太郎34</v>
      </c>
      <c r="C37" s="28">
        <f ca="1">給与集計!Y38</f>
        <v>0</v>
      </c>
      <c r="D37" s="33">
        <v>1000</v>
      </c>
      <c r="E37" s="33">
        <f t="shared" ca="1" si="0"/>
        <v>0</v>
      </c>
      <c r="F37" s="28" t="str">
        <f t="shared" ca="1" si="1"/>
        <v/>
      </c>
      <c r="G37" s="24"/>
      <c r="K37" s="29" t="str">
        <f>給与集計!B38</f>
        <v>000034</v>
      </c>
      <c r="L37" s="1" t="str">
        <f>給与集計!D38</f>
        <v>サンプル　太郎34</v>
      </c>
      <c r="M37" s="28"/>
      <c r="N37" s="33">
        <v>59600</v>
      </c>
      <c r="O37" s="33">
        <f t="shared" si="2"/>
        <v>0</v>
      </c>
      <c r="P37" s="28"/>
      <c r="Q37" s="33">
        <v>30400</v>
      </c>
      <c r="R37" s="33">
        <f t="shared" si="3"/>
        <v>0</v>
      </c>
      <c r="S37" s="33">
        <f t="shared" si="4"/>
        <v>0</v>
      </c>
      <c r="T37" s="69"/>
      <c r="U37" s="33">
        <f t="shared" si="5"/>
        <v>0</v>
      </c>
      <c r="V37" s="28" t="str">
        <f t="shared" si="6"/>
        <v/>
      </c>
      <c r="W37" s="26"/>
    </row>
    <row r="38" spans="1:23">
      <c r="A38" s="29" t="str">
        <f>給与集計!B39</f>
        <v>000035</v>
      </c>
      <c r="B38" s="1" t="str">
        <f>給与集計!D39</f>
        <v>サンプル　太郎35</v>
      </c>
      <c r="C38" s="28">
        <f ca="1">給与集計!Y39</f>
        <v>0</v>
      </c>
      <c r="D38" s="33">
        <v>1000</v>
      </c>
      <c r="E38" s="33">
        <f t="shared" ca="1" si="0"/>
        <v>0</v>
      </c>
      <c r="F38" s="28" t="str">
        <f t="shared" ca="1" si="1"/>
        <v/>
      </c>
      <c r="G38" s="24"/>
      <c r="K38" s="29" t="str">
        <f>給与集計!B39</f>
        <v>000035</v>
      </c>
      <c r="L38" s="1" t="str">
        <f>給与集計!D39</f>
        <v>サンプル　太郎35</v>
      </c>
      <c r="M38" s="28"/>
      <c r="N38" s="33">
        <v>59600</v>
      </c>
      <c r="O38" s="33">
        <f t="shared" si="2"/>
        <v>0</v>
      </c>
      <c r="P38" s="28"/>
      <c r="Q38" s="33">
        <v>30400</v>
      </c>
      <c r="R38" s="33">
        <f t="shared" si="3"/>
        <v>0</v>
      </c>
      <c r="S38" s="33">
        <f t="shared" si="4"/>
        <v>0</v>
      </c>
      <c r="T38" s="69"/>
      <c r="U38" s="33">
        <f t="shared" si="5"/>
        <v>0</v>
      </c>
      <c r="V38" s="28" t="str">
        <f t="shared" si="6"/>
        <v/>
      </c>
      <c r="W38" s="26"/>
    </row>
    <row r="39" spans="1:23">
      <c r="A39" s="29" t="str">
        <f>給与集計!B40</f>
        <v>000036</v>
      </c>
      <c r="B39" s="1" t="str">
        <f>給与集計!D40</f>
        <v>サンプル　太郎36</v>
      </c>
      <c r="C39" s="28">
        <f ca="1">給与集計!Y40</f>
        <v>0</v>
      </c>
      <c r="D39" s="33">
        <v>1000</v>
      </c>
      <c r="E39" s="33">
        <f t="shared" ca="1" si="0"/>
        <v>0</v>
      </c>
      <c r="F39" s="28" t="str">
        <f t="shared" ca="1" si="1"/>
        <v/>
      </c>
      <c r="G39" s="24"/>
      <c r="K39" s="29" t="str">
        <f>給与集計!B40</f>
        <v>000036</v>
      </c>
      <c r="L39" s="1" t="str">
        <f>給与集計!D40</f>
        <v>サンプル　太郎36</v>
      </c>
      <c r="M39" s="28"/>
      <c r="N39" s="33">
        <v>59600</v>
      </c>
      <c r="O39" s="33">
        <f t="shared" si="2"/>
        <v>0</v>
      </c>
      <c r="P39" s="28"/>
      <c r="Q39" s="33">
        <v>30400</v>
      </c>
      <c r="R39" s="33">
        <f t="shared" si="3"/>
        <v>0</v>
      </c>
      <c r="S39" s="33">
        <f t="shared" si="4"/>
        <v>0</v>
      </c>
      <c r="T39" s="69"/>
      <c r="U39" s="33">
        <f t="shared" si="5"/>
        <v>0</v>
      </c>
      <c r="V39" s="28" t="str">
        <f t="shared" si="6"/>
        <v/>
      </c>
      <c r="W39" s="26"/>
    </row>
    <row r="40" spans="1:23">
      <c r="A40" s="29" t="str">
        <f>給与集計!B41</f>
        <v>000037</v>
      </c>
      <c r="B40" s="1" t="str">
        <f>給与集計!D41</f>
        <v>サンプル　太郎37</v>
      </c>
      <c r="C40" s="28">
        <f ca="1">給与集計!Y41</f>
        <v>0</v>
      </c>
      <c r="D40" s="33">
        <v>1000</v>
      </c>
      <c r="E40" s="33">
        <f t="shared" ca="1" si="0"/>
        <v>0</v>
      </c>
      <c r="F40" s="28" t="str">
        <f t="shared" ca="1" si="1"/>
        <v/>
      </c>
      <c r="G40" s="24"/>
      <c r="K40" s="29" t="str">
        <f>給与集計!B41</f>
        <v>000037</v>
      </c>
      <c r="L40" s="1" t="str">
        <f>給与集計!D41</f>
        <v>サンプル　太郎37</v>
      </c>
      <c r="M40" s="28"/>
      <c r="N40" s="33">
        <v>59600</v>
      </c>
      <c r="O40" s="33">
        <f t="shared" si="2"/>
        <v>0</v>
      </c>
      <c r="P40" s="28"/>
      <c r="Q40" s="33">
        <v>30400</v>
      </c>
      <c r="R40" s="33">
        <f t="shared" si="3"/>
        <v>0</v>
      </c>
      <c r="S40" s="33">
        <f t="shared" si="4"/>
        <v>0</v>
      </c>
      <c r="T40" s="69"/>
      <c r="U40" s="33">
        <f t="shared" si="5"/>
        <v>0</v>
      </c>
      <c r="V40" s="28" t="str">
        <f t="shared" si="6"/>
        <v/>
      </c>
      <c r="W40" s="26"/>
    </row>
    <row r="41" spans="1:23">
      <c r="A41" s="29" t="str">
        <f>給与集計!B42</f>
        <v>000038</v>
      </c>
      <c r="B41" s="1" t="str">
        <f>給与集計!D42</f>
        <v>サンプル　太郎38</v>
      </c>
      <c r="C41" s="28">
        <f ca="1">給与集計!Y42</f>
        <v>0</v>
      </c>
      <c r="D41" s="33">
        <v>1000</v>
      </c>
      <c r="E41" s="33">
        <f t="shared" ca="1" si="0"/>
        <v>0</v>
      </c>
      <c r="F41" s="28" t="str">
        <f t="shared" ca="1" si="1"/>
        <v/>
      </c>
      <c r="G41" s="24"/>
      <c r="K41" s="29" t="str">
        <f>給与集計!B42</f>
        <v>000038</v>
      </c>
      <c r="L41" s="1" t="str">
        <f>給与集計!D42</f>
        <v>サンプル　太郎38</v>
      </c>
      <c r="M41" s="28"/>
      <c r="N41" s="33">
        <v>59600</v>
      </c>
      <c r="O41" s="33">
        <f t="shared" si="2"/>
        <v>0</v>
      </c>
      <c r="P41" s="28"/>
      <c r="Q41" s="33">
        <v>30400</v>
      </c>
      <c r="R41" s="33">
        <f t="shared" si="3"/>
        <v>0</v>
      </c>
      <c r="S41" s="33">
        <f t="shared" si="4"/>
        <v>0</v>
      </c>
      <c r="T41" s="69"/>
      <c r="U41" s="33">
        <f t="shared" si="5"/>
        <v>0</v>
      </c>
      <c r="V41" s="28" t="str">
        <f t="shared" si="6"/>
        <v/>
      </c>
      <c r="W41" s="26"/>
    </row>
    <row r="42" spans="1:23">
      <c r="A42" s="29" t="str">
        <f>給与集計!B43</f>
        <v>000039</v>
      </c>
      <c r="B42" s="1" t="str">
        <f>給与集計!D43</f>
        <v>サンプル　太郎39</v>
      </c>
      <c r="C42" s="28">
        <f ca="1">給与集計!Y43</f>
        <v>0</v>
      </c>
      <c r="D42" s="33">
        <v>1000</v>
      </c>
      <c r="E42" s="33">
        <f t="shared" ca="1" si="0"/>
        <v>0</v>
      </c>
      <c r="F42" s="28" t="str">
        <f t="shared" ca="1" si="1"/>
        <v/>
      </c>
      <c r="G42" s="24"/>
      <c r="K42" s="29" t="str">
        <f>給与集計!B43</f>
        <v>000039</v>
      </c>
      <c r="L42" s="1" t="str">
        <f>給与集計!D43</f>
        <v>サンプル　太郎39</v>
      </c>
      <c r="M42" s="28"/>
      <c r="N42" s="33">
        <v>59600</v>
      </c>
      <c r="O42" s="33">
        <f t="shared" si="2"/>
        <v>0</v>
      </c>
      <c r="P42" s="28"/>
      <c r="Q42" s="33">
        <v>30400</v>
      </c>
      <c r="R42" s="33">
        <f t="shared" si="3"/>
        <v>0</v>
      </c>
      <c r="S42" s="33">
        <f t="shared" si="4"/>
        <v>0</v>
      </c>
      <c r="T42" s="69"/>
      <c r="U42" s="33">
        <f t="shared" si="5"/>
        <v>0</v>
      </c>
      <c r="V42" s="28" t="str">
        <f t="shared" si="6"/>
        <v/>
      </c>
      <c r="W42" s="26"/>
    </row>
    <row r="43" spans="1:23">
      <c r="A43" s="29" t="str">
        <f>給与集計!B44</f>
        <v>000040</v>
      </c>
      <c r="B43" s="1" t="str">
        <f>給与集計!D44</f>
        <v>サンプル　太郎40</v>
      </c>
      <c r="C43" s="28">
        <f ca="1">給与集計!Y44</f>
        <v>0</v>
      </c>
      <c r="D43" s="33">
        <v>1000</v>
      </c>
      <c r="E43" s="33">
        <f t="shared" ca="1" si="0"/>
        <v>0</v>
      </c>
      <c r="F43" s="28" t="str">
        <f t="shared" ca="1" si="1"/>
        <v/>
      </c>
      <c r="G43" s="24"/>
      <c r="K43" s="29" t="str">
        <f>給与集計!B44</f>
        <v>000040</v>
      </c>
      <c r="L43" s="1" t="str">
        <f>給与集計!D44</f>
        <v>サンプル　太郎40</v>
      </c>
      <c r="M43" s="28"/>
      <c r="N43" s="33">
        <v>59600</v>
      </c>
      <c r="O43" s="33">
        <f t="shared" si="2"/>
        <v>0</v>
      </c>
      <c r="P43" s="28"/>
      <c r="Q43" s="33">
        <v>30400</v>
      </c>
      <c r="R43" s="33">
        <f t="shared" si="3"/>
        <v>0</v>
      </c>
      <c r="S43" s="33">
        <f t="shared" si="4"/>
        <v>0</v>
      </c>
      <c r="T43" s="69"/>
      <c r="U43" s="33">
        <f t="shared" si="5"/>
        <v>0</v>
      </c>
      <c r="V43" s="28" t="str">
        <f t="shared" si="6"/>
        <v/>
      </c>
      <c r="W43" s="26"/>
    </row>
    <row r="44" spans="1:23">
      <c r="A44" s="29" t="str">
        <f>給与集計!B45</f>
        <v>000041</v>
      </c>
      <c r="B44" s="1" t="str">
        <f>給与集計!D45</f>
        <v>サンプル　太郎41</v>
      </c>
      <c r="C44" s="28">
        <f ca="1">給与集計!Y45</f>
        <v>0</v>
      </c>
      <c r="D44" s="33">
        <v>1000</v>
      </c>
      <c r="E44" s="33">
        <f t="shared" ca="1" si="0"/>
        <v>0</v>
      </c>
      <c r="F44" s="28" t="str">
        <f t="shared" ca="1" si="1"/>
        <v/>
      </c>
      <c r="G44" s="24"/>
      <c r="K44" s="29" t="str">
        <f>給与集計!B45</f>
        <v>000041</v>
      </c>
      <c r="L44" s="1" t="str">
        <f>給与集計!D45</f>
        <v>サンプル　太郎41</v>
      </c>
      <c r="M44" s="28"/>
      <c r="N44" s="33">
        <v>59600</v>
      </c>
      <c r="O44" s="33">
        <f t="shared" si="2"/>
        <v>0</v>
      </c>
      <c r="P44" s="28"/>
      <c r="Q44" s="33">
        <v>30400</v>
      </c>
      <c r="R44" s="33">
        <f t="shared" si="3"/>
        <v>0</v>
      </c>
      <c r="S44" s="33">
        <f t="shared" si="4"/>
        <v>0</v>
      </c>
      <c r="T44" s="69"/>
      <c r="U44" s="33">
        <f t="shared" si="5"/>
        <v>0</v>
      </c>
      <c r="V44" s="28" t="str">
        <f t="shared" si="6"/>
        <v/>
      </c>
      <c r="W44" s="26"/>
    </row>
    <row r="45" spans="1:23">
      <c r="A45" s="29" t="str">
        <f>給与集計!B46</f>
        <v>000042</v>
      </c>
      <c r="B45" s="1" t="str">
        <f>給与集計!D46</f>
        <v>サンプル　太郎42</v>
      </c>
      <c r="C45" s="28">
        <f ca="1">給与集計!Y46</f>
        <v>0</v>
      </c>
      <c r="D45" s="33">
        <v>1000</v>
      </c>
      <c r="E45" s="33">
        <f t="shared" ca="1" si="0"/>
        <v>0</v>
      </c>
      <c r="F45" s="28" t="str">
        <f t="shared" ca="1" si="1"/>
        <v/>
      </c>
      <c r="G45" s="24"/>
      <c r="K45" s="29" t="str">
        <f>給与集計!B46</f>
        <v>000042</v>
      </c>
      <c r="L45" s="1" t="str">
        <f>給与集計!D46</f>
        <v>サンプル　太郎42</v>
      </c>
      <c r="M45" s="28"/>
      <c r="N45" s="33">
        <v>59600</v>
      </c>
      <c r="O45" s="33">
        <f t="shared" si="2"/>
        <v>0</v>
      </c>
      <c r="P45" s="28"/>
      <c r="Q45" s="33">
        <v>30400</v>
      </c>
      <c r="R45" s="33">
        <f t="shared" si="3"/>
        <v>0</v>
      </c>
      <c r="S45" s="33">
        <f t="shared" si="4"/>
        <v>0</v>
      </c>
      <c r="T45" s="69"/>
      <c r="U45" s="33">
        <f t="shared" si="5"/>
        <v>0</v>
      </c>
      <c r="V45" s="28" t="str">
        <f t="shared" si="6"/>
        <v/>
      </c>
      <c r="W45" s="26"/>
    </row>
    <row r="46" spans="1:23">
      <c r="A46" s="29" t="str">
        <f>給与集計!B47</f>
        <v>000043</v>
      </c>
      <c r="B46" s="1" t="str">
        <f>給与集計!D47</f>
        <v>サンプル　太郎43</v>
      </c>
      <c r="C46" s="28">
        <f ca="1">給与集計!Y47</f>
        <v>0</v>
      </c>
      <c r="D46" s="33">
        <v>1000</v>
      </c>
      <c r="E46" s="33">
        <f t="shared" ca="1" si="0"/>
        <v>0</v>
      </c>
      <c r="F46" s="28" t="str">
        <f t="shared" ca="1" si="1"/>
        <v/>
      </c>
      <c r="G46" s="24"/>
      <c r="K46" s="29" t="str">
        <f>給与集計!B47</f>
        <v>000043</v>
      </c>
      <c r="L46" s="1" t="str">
        <f>給与集計!D47</f>
        <v>サンプル　太郎43</v>
      </c>
      <c r="M46" s="28"/>
      <c r="N46" s="33">
        <v>59600</v>
      </c>
      <c r="O46" s="33">
        <f t="shared" si="2"/>
        <v>0</v>
      </c>
      <c r="P46" s="28"/>
      <c r="Q46" s="33">
        <v>30400</v>
      </c>
      <c r="R46" s="33">
        <f t="shared" si="3"/>
        <v>0</v>
      </c>
      <c r="S46" s="33">
        <f t="shared" si="4"/>
        <v>0</v>
      </c>
      <c r="T46" s="69"/>
      <c r="U46" s="33">
        <f t="shared" si="5"/>
        <v>0</v>
      </c>
      <c r="V46" s="28" t="str">
        <f t="shared" si="6"/>
        <v/>
      </c>
      <c r="W46" s="26"/>
    </row>
    <row r="47" spans="1:23">
      <c r="A47" s="29" t="str">
        <f>給与集計!B48</f>
        <v>000044</v>
      </c>
      <c r="B47" s="1" t="str">
        <f>給与集計!D48</f>
        <v>サンプル　太郎44</v>
      </c>
      <c r="C47" s="28">
        <f ca="1">給与集計!Y48</f>
        <v>0</v>
      </c>
      <c r="D47" s="33">
        <v>1000</v>
      </c>
      <c r="E47" s="33">
        <f t="shared" ca="1" si="0"/>
        <v>0</v>
      </c>
      <c r="F47" s="28" t="str">
        <f t="shared" ca="1" si="1"/>
        <v/>
      </c>
      <c r="G47" s="24"/>
      <c r="K47" s="29" t="str">
        <f>給与集計!B48</f>
        <v>000044</v>
      </c>
      <c r="L47" s="1" t="str">
        <f>給与集計!D48</f>
        <v>サンプル　太郎44</v>
      </c>
      <c r="M47" s="28"/>
      <c r="N47" s="33">
        <v>59600</v>
      </c>
      <c r="O47" s="33">
        <f t="shared" si="2"/>
        <v>0</v>
      </c>
      <c r="P47" s="28"/>
      <c r="Q47" s="33">
        <v>30400</v>
      </c>
      <c r="R47" s="33">
        <f t="shared" si="3"/>
        <v>0</v>
      </c>
      <c r="S47" s="33">
        <f t="shared" si="4"/>
        <v>0</v>
      </c>
      <c r="T47" s="69"/>
      <c r="U47" s="33">
        <f t="shared" si="5"/>
        <v>0</v>
      </c>
      <c r="V47" s="28" t="str">
        <f t="shared" si="6"/>
        <v/>
      </c>
      <c r="W47" s="26"/>
    </row>
    <row r="48" spans="1:23">
      <c r="A48" s="29" t="str">
        <f>給与集計!B49</f>
        <v>000045</v>
      </c>
      <c r="B48" s="1" t="str">
        <f>給与集計!D49</f>
        <v>サンプル　太郎45</v>
      </c>
      <c r="C48" s="28">
        <f ca="1">給与集計!Y49</f>
        <v>0</v>
      </c>
      <c r="D48" s="33">
        <v>1000</v>
      </c>
      <c r="E48" s="33">
        <f t="shared" ca="1" si="0"/>
        <v>0</v>
      </c>
      <c r="F48" s="28" t="str">
        <f t="shared" ca="1" si="1"/>
        <v/>
      </c>
      <c r="G48" s="24"/>
      <c r="K48" s="29" t="str">
        <f>給与集計!B49</f>
        <v>000045</v>
      </c>
      <c r="L48" s="1" t="str">
        <f>給与集計!D49</f>
        <v>サンプル　太郎45</v>
      </c>
      <c r="M48" s="28"/>
      <c r="N48" s="33">
        <v>59600</v>
      </c>
      <c r="O48" s="33">
        <f t="shared" si="2"/>
        <v>0</v>
      </c>
      <c r="P48" s="28"/>
      <c r="Q48" s="33">
        <v>30400</v>
      </c>
      <c r="R48" s="33">
        <f t="shared" si="3"/>
        <v>0</v>
      </c>
      <c r="S48" s="33">
        <f t="shared" si="4"/>
        <v>0</v>
      </c>
      <c r="T48" s="69"/>
      <c r="U48" s="33">
        <f t="shared" si="5"/>
        <v>0</v>
      </c>
      <c r="V48" s="28" t="str">
        <f t="shared" si="6"/>
        <v/>
      </c>
      <c r="W48" s="26"/>
    </row>
    <row r="49" spans="1:23">
      <c r="A49" s="29" t="str">
        <f>給与集計!B50</f>
        <v>000046</v>
      </c>
      <c r="B49" s="1" t="str">
        <f>給与集計!D50</f>
        <v>サンプル　太郎46</v>
      </c>
      <c r="C49" s="28">
        <f ca="1">給与集計!Y50</f>
        <v>0</v>
      </c>
      <c r="D49" s="33">
        <v>1000</v>
      </c>
      <c r="E49" s="33">
        <f t="shared" ca="1" si="0"/>
        <v>0</v>
      </c>
      <c r="F49" s="28" t="str">
        <f t="shared" ca="1" si="1"/>
        <v/>
      </c>
      <c r="G49" s="24"/>
      <c r="K49" s="29" t="str">
        <f>給与集計!B50</f>
        <v>000046</v>
      </c>
      <c r="L49" s="1" t="str">
        <f>給与集計!D50</f>
        <v>サンプル　太郎46</v>
      </c>
      <c r="M49" s="28"/>
      <c r="N49" s="33">
        <v>59600</v>
      </c>
      <c r="O49" s="33">
        <f t="shared" si="2"/>
        <v>0</v>
      </c>
      <c r="P49" s="28"/>
      <c r="Q49" s="33">
        <v>30400</v>
      </c>
      <c r="R49" s="33">
        <f t="shared" si="3"/>
        <v>0</v>
      </c>
      <c r="S49" s="33">
        <f t="shared" si="4"/>
        <v>0</v>
      </c>
      <c r="T49" s="69"/>
      <c r="U49" s="33">
        <f t="shared" si="5"/>
        <v>0</v>
      </c>
      <c r="V49" s="28" t="str">
        <f t="shared" si="6"/>
        <v/>
      </c>
      <c r="W49" s="26"/>
    </row>
    <row r="50" spans="1:23">
      <c r="A50" s="29" t="str">
        <f>給与集計!B51</f>
        <v>000047</v>
      </c>
      <c r="B50" s="1" t="str">
        <f>給与集計!D51</f>
        <v>サンプル　太郎47</v>
      </c>
      <c r="C50" s="28">
        <f ca="1">給与集計!Y51</f>
        <v>0</v>
      </c>
      <c r="D50" s="33">
        <v>1000</v>
      </c>
      <c r="E50" s="33">
        <f t="shared" ca="1" si="0"/>
        <v>0</v>
      </c>
      <c r="F50" s="28" t="str">
        <f t="shared" ca="1" si="1"/>
        <v/>
      </c>
      <c r="G50" s="24"/>
      <c r="K50" s="29" t="str">
        <f>給与集計!B51</f>
        <v>000047</v>
      </c>
      <c r="L50" s="1" t="str">
        <f>給与集計!D51</f>
        <v>サンプル　太郎47</v>
      </c>
      <c r="M50" s="28"/>
      <c r="N50" s="33">
        <v>59600</v>
      </c>
      <c r="O50" s="33">
        <f t="shared" si="2"/>
        <v>0</v>
      </c>
      <c r="P50" s="28"/>
      <c r="Q50" s="33">
        <v>30400</v>
      </c>
      <c r="R50" s="33">
        <f t="shared" si="3"/>
        <v>0</v>
      </c>
      <c r="S50" s="33">
        <f t="shared" si="4"/>
        <v>0</v>
      </c>
      <c r="T50" s="69"/>
      <c r="U50" s="33">
        <f t="shared" si="5"/>
        <v>0</v>
      </c>
      <c r="V50" s="28" t="str">
        <f t="shared" si="6"/>
        <v/>
      </c>
      <c r="W50" s="26"/>
    </row>
    <row r="51" spans="1:23">
      <c r="A51" s="29" t="str">
        <f>給与集計!B52</f>
        <v>000048</v>
      </c>
      <c r="B51" s="1" t="str">
        <f>給与集計!D52</f>
        <v>サンプル　太郎48</v>
      </c>
      <c r="C51" s="28">
        <f ca="1">給与集計!Y52</f>
        <v>0</v>
      </c>
      <c r="D51" s="33">
        <v>1000</v>
      </c>
      <c r="E51" s="33">
        <f t="shared" ca="1" si="0"/>
        <v>0</v>
      </c>
      <c r="F51" s="28" t="str">
        <f t="shared" ca="1" si="1"/>
        <v/>
      </c>
      <c r="G51" s="24"/>
      <c r="K51" s="29" t="str">
        <f>給与集計!B52</f>
        <v>000048</v>
      </c>
      <c r="L51" s="1" t="str">
        <f>給与集計!D52</f>
        <v>サンプル　太郎48</v>
      </c>
      <c r="M51" s="28"/>
      <c r="N51" s="33">
        <v>59600</v>
      </c>
      <c r="O51" s="33">
        <f t="shared" si="2"/>
        <v>0</v>
      </c>
      <c r="P51" s="28"/>
      <c r="Q51" s="33">
        <v>30400</v>
      </c>
      <c r="R51" s="33">
        <f t="shared" si="3"/>
        <v>0</v>
      </c>
      <c r="S51" s="33">
        <f t="shared" si="4"/>
        <v>0</v>
      </c>
      <c r="T51" s="69"/>
      <c r="U51" s="33">
        <f t="shared" si="5"/>
        <v>0</v>
      </c>
      <c r="V51" s="28" t="str">
        <f t="shared" si="6"/>
        <v/>
      </c>
      <c r="W51" s="26"/>
    </row>
    <row r="52" spans="1:23">
      <c r="A52" s="29" t="str">
        <f>給与集計!B53</f>
        <v>000049</v>
      </c>
      <c r="B52" s="1" t="str">
        <f>給与集計!D53</f>
        <v>サンプル　太郎49</v>
      </c>
      <c r="C52" s="28">
        <f ca="1">給与集計!Y53</f>
        <v>0</v>
      </c>
      <c r="D52" s="33">
        <v>1000</v>
      </c>
      <c r="E52" s="33">
        <f t="shared" ca="1" si="0"/>
        <v>0</v>
      </c>
      <c r="F52" s="28" t="str">
        <f t="shared" ca="1" si="1"/>
        <v/>
      </c>
      <c r="G52" s="24"/>
      <c r="K52" s="29" t="str">
        <f>給与集計!B53</f>
        <v>000049</v>
      </c>
      <c r="L52" s="1" t="str">
        <f>給与集計!D53</f>
        <v>サンプル　太郎49</v>
      </c>
      <c r="M52" s="28"/>
      <c r="N52" s="33">
        <v>59600</v>
      </c>
      <c r="O52" s="33">
        <f t="shared" si="2"/>
        <v>0</v>
      </c>
      <c r="P52" s="28"/>
      <c r="Q52" s="33">
        <v>30400</v>
      </c>
      <c r="R52" s="33">
        <f t="shared" si="3"/>
        <v>0</v>
      </c>
      <c r="S52" s="33">
        <f t="shared" si="4"/>
        <v>0</v>
      </c>
      <c r="T52" s="69"/>
      <c r="U52" s="33">
        <f t="shared" si="5"/>
        <v>0</v>
      </c>
      <c r="V52" s="28" t="str">
        <f t="shared" si="6"/>
        <v/>
      </c>
      <c r="W52" s="26"/>
    </row>
    <row r="53" spans="1:23">
      <c r="A53" s="29" t="str">
        <f>給与集計!B54</f>
        <v>000050</v>
      </c>
      <c r="B53" s="1" t="str">
        <f>給与集計!D54</f>
        <v>サンプル　太郎50</v>
      </c>
      <c r="C53" s="28">
        <f ca="1">給与集計!Y54</f>
        <v>0</v>
      </c>
      <c r="D53" s="33">
        <v>1000</v>
      </c>
      <c r="E53" s="33">
        <f t="shared" ca="1" si="0"/>
        <v>0</v>
      </c>
      <c r="F53" s="28" t="str">
        <f t="shared" ca="1" si="1"/>
        <v/>
      </c>
      <c r="G53" s="24"/>
      <c r="K53" s="29" t="str">
        <f>給与集計!B54</f>
        <v>000050</v>
      </c>
      <c r="L53" s="1" t="str">
        <f>給与集計!D54</f>
        <v>サンプル　太郎50</v>
      </c>
      <c r="M53" s="28"/>
      <c r="N53" s="33">
        <v>59600</v>
      </c>
      <c r="O53" s="33">
        <f t="shared" si="2"/>
        <v>0</v>
      </c>
      <c r="P53" s="28"/>
      <c r="Q53" s="33">
        <v>30400</v>
      </c>
      <c r="R53" s="33">
        <f t="shared" si="3"/>
        <v>0</v>
      </c>
      <c r="S53" s="33">
        <f t="shared" si="4"/>
        <v>0</v>
      </c>
      <c r="T53" s="69"/>
      <c r="U53" s="33">
        <f t="shared" si="5"/>
        <v>0</v>
      </c>
      <c r="V53" s="28" t="str">
        <f t="shared" si="6"/>
        <v/>
      </c>
      <c r="W53" s="26"/>
    </row>
    <row r="54" spans="1:23">
      <c r="A54" s="29" t="str">
        <f>給与集計!B55</f>
        <v>000051</v>
      </c>
      <c r="B54" s="1" t="str">
        <f>給与集計!D55</f>
        <v>サンプル　太郎51</v>
      </c>
      <c r="C54" s="28">
        <f ca="1">給与集計!Y55</f>
        <v>0</v>
      </c>
      <c r="D54" s="33">
        <v>1000</v>
      </c>
      <c r="E54" s="33">
        <f t="shared" ca="1" si="0"/>
        <v>0</v>
      </c>
      <c r="F54" s="28" t="str">
        <f t="shared" ca="1" si="1"/>
        <v/>
      </c>
      <c r="G54" s="24"/>
      <c r="K54" s="29" t="str">
        <f>給与集計!B55</f>
        <v>000051</v>
      </c>
      <c r="L54" s="1" t="str">
        <f>給与集計!D55</f>
        <v>サンプル　太郎51</v>
      </c>
      <c r="M54" s="28"/>
      <c r="N54" s="33">
        <v>59600</v>
      </c>
      <c r="O54" s="33">
        <f t="shared" si="2"/>
        <v>0</v>
      </c>
      <c r="P54" s="28"/>
      <c r="Q54" s="33">
        <v>30400</v>
      </c>
      <c r="R54" s="33">
        <f t="shared" si="3"/>
        <v>0</v>
      </c>
      <c r="S54" s="33">
        <f t="shared" si="4"/>
        <v>0</v>
      </c>
      <c r="T54" s="69"/>
      <c r="U54" s="33">
        <f t="shared" si="5"/>
        <v>0</v>
      </c>
      <c r="V54" s="28" t="str">
        <f t="shared" si="6"/>
        <v/>
      </c>
      <c r="W54" s="26"/>
    </row>
    <row r="55" spans="1:23">
      <c r="A55" s="29" t="str">
        <f>給与集計!B56</f>
        <v>000052</v>
      </c>
      <c r="B55" s="1" t="str">
        <f>給与集計!D56</f>
        <v>サンプル　太郎52</v>
      </c>
      <c r="C55" s="28">
        <f ca="1">給与集計!Y56</f>
        <v>0</v>
      </c>
      <c r="D55" s="33">
        <v>1000</v>
      </c>
      <c r="E55" s="33">
        <f t="shared" ca="1" si="0"/>
        <v>0</v>
      </c>
      <c r="F55" s="28" t="str">
        <f t="shared" ca="1" si="1"/>
        <v/>
      </c>
      <c r="G55" s="24"/>
      <c r="K55" s="29" t="str">
        <f>給与集計!B56</f>
        <v>000052</v>
      </c>
      <c r="L55" s="1" t="str">
        <f>給与集計!D56</f>
        <v>サンプル　太郎52</v>
      </c>
      <c r="M55" s="28"/>
      <c r="N55" s="33">
        <v>59600</v>
      </c>
      <c r="O55" s="33">
        <f t="shared" si="2"/>
        <v>0</v>
      </c>
      <c r="P55" s="28"/>
      <c r="Q55" s="33">
        <v>30400</v>
      </c>
      <c r="R55" s="33">
        <f t="shared" si="3"/>
        <v>0</v>
      </c>
      <c r="S55" s="33">
        <f t="shared" si="4"/>
        <v>0</v>
      </c>
      <c r="T55" s="69"/>
      <c r="U55" s="33">
        <f t="shared" si="5"/>
        <v>0</v>
      </c>
      <c r="V55" s="28" t="str">
        <f t="shared" si="6"/>
        <v/>
      </c>
      <c r="W55" s="26"/>
    </row>
    <row r="56" spans="1:23">
      <c r="A56" s="29" t="str">
        <f>給与集計!B57</f>
        <v>000053</v>
      </c>
      <c r="B56" s="1" t="str">
        <f>給与集計!D57</f>
        <v>サンプル　太郎53</v>
      </c>
      <c r="C56" s="28">
        <f ca="1">給与集計!Y57</f>
        <v>0</v>
      </c>
      <c r="D56" s="33">
        <v>1000</v>
      </c>
      <c r="E56" s="33">
        <f t="shared" ca="1" si="0"/>
        <v>0</v>
      </c>
      <c r="F56" s="28" t="str">
        <f t="shared" ca="1" si="1"/>
        <v/>
      </c>
      <c r="G56" s="24"/>
      <c r="K56" s="29" t="str">
        <f>給与集計!B57</f>
        <v>000053</v>
      </c>
      <c r="L56" s="1" t="str">
        <f>給与集計!D57</f>
        <v>サンプル　太郎53</v>
      </c>
      <c r="M56" s="28"/>
      <c r="N56" s="33">
        <v>59600</v>
      </c>
      <c r="O56" s="33">
        <f t="shared" si="2"/>
        <v>0</v>
      </c>
      <c r="P56" s="28"/>
      <c r="Q56" s="33">
        <v>30400</v>
      </c>
      <c r="R56" s="33">
        <f t="shared" si="3"/>
        <v>0</v>
      </c>
      <c r="S56" s="33">
        <f t="shared" si="4"/>
        <v>0</v>
      </c>
      <c r="T56" s="69"/>
      <c r="U56" s="33">
        <f t="shared" si="5"/>
        <v>0</v>
      </c>
      <c r="V56" s="28" t="str">
        <f t="shared" si="6"/>
        <v/>
      </c>
      <c r="W56" s="26"/>
    </row>
    <row r="57" spans="1:23">
      <c r="A57" s="29" t="str">
        <f>給与集計!B58</f>
        <v>000054</v>
      </c>
      <c r="B57" s="1" t="str">
        <f>給与集計!D58</f>
        <v>サンプル　太郎54</v>
      </c>
      <c r="C57" s="28">
        <f ca="1">給与集計!Y58</f>
        <v>0</v>
      </c>
      <c r="D57" s="33">
        <v>1000</v>
      </c>
      <c r="E57" s="33">
        <f t="shared" ca="1" si="0"/>
        <v>0</v>
      </c>
      <c r="F57" s="28" t="str">
        <f t="shared" ca="1" si="1"/>
        <v/>
      </c>
      <c r="G57" s="24"/>
      <c r="K57" s="29" t="str">
        <f>給与集計!B58</f>
        <v>000054</v>
      </c>
      <c r="L57" s="1" t="str">
        <f>給与集計!D58</f>
        <v>サンプル　太郎54</v>
      </c>
      <c r="M57" s="28"/>
      <c r="N57" s="33">
        <v>59600</v>
      </c>
      <c r="O57" s="33">
        <f t="shared" si="2"/>
        <v>0</v>
      </c>
      <c r="P57" s="28"/>
      <c r="Q57" s="33">
        <v>30400</v>
      </c>
      <c r="R57" s="33">
        <f t="shared" si="3"/>
        <v>0</v>
      </c>
      <c r="S57" s="33">
        <f t="shared" si="4"/>
        <v>0</v>
      </c>
      <c r="T57" s="69"/>
      <c r="U57" s="33">
        <f t="shared" si="5"/>
        <v>0</v>
      </c>
      <c r="V57" s="28" t="str">
        <f t="shared" si="6"/>
        <v/>
      </c>
      <c r="W57" s="26"/>
    </row>
    <row r="58" spans="1:23">
      <c r="A58" s="29" t="str">
        <f>給与集計!B59</f>
        <v>000055</v>
      </c>
      <c r="B58" s="1" t="str">
        <f>給与集計!D59</f>
        <v>サンプル　太郎55</v>
      </c>
      <c r="C58" s="28">
        <f ca="1">給与集計!Y59</f>
        <v>0</v>
      </c>
      <c r="D58" s="33">
        <v>1000</v>
      </c>
      <c r="E58" s="33">
        <f t="shared" ca="1" si="0"/>
        <v>0</v>
      </c>
      <c r="F58" s="28" t="str">
        <f t="shared" ca="1" si="1"/>
        <v/>
      </c>
      <c r="G58" s="24"/>
      <c r="K58" s="29" t="str">
        <f>給与集計!B59</f>
        <v>000055</v>
      </c>
      <c r="L58" s="1" t="str">
        <f>給与集計!D59</f>
        <v>サンプル　太郎55</v>
      </c>
      <c r="M58" s="28"/>
      <c r="N58" s="33">
        <v>59600</v>
      </c>
      <c r="O58" s="33">
        <f t="shared" si="2"/>
        <v>0</v>
      </c>
      <c r="P58" s="28"/>
      <c r="Q58" s="33">
        <v>30400</v>
      </c>
      <c r="R58" s="33">
        <f t="shared" si="3"/>
        <v>0</v>
      </c>
      <c r="S58" s="33">
        <f t="shared" si="4"/>
        <v>0</v>
      </c>
      <c r="T58" s="69"/>
      <c r="U58" s="33">
        <f t="shared" si="5"/>
        <v>0</v>
      </c>
      <c r="V58" s="28" t="str">
        <f t="shared" si="6"/>
        <v/>
      </c>
      <c r="W58" s="26"/>
    </row>
    <row r="59" spans="1:23">
      <c r="A59" s="29" t="str">
        <f>給与集計!B60</f>
        <v>000056</v>
      </c>
      <c r="B59" s="1" t="str">
        <f>給与集計!D60</f>
        <v>サンプル　太郎56</v>
      </c>
      <c r="C59" s="28">
        <f ca="1">給与集計!Y60</f>
        <v>0</v>
      </c>
      <c r="D59" s="33">
        <v>1000</v>
      </c>
      <c r="E59" s="33">
        <f t="shared" ca="1" si="0"/>
        <v>0</v>
      </c>
      <c r="F59" s="28" t="str">
        <f t="shared" ca="1" si="1"/>
        <v/>
      </c>
      <c r="G59" s="24"/>
      <c r="K59" s="29" t="str">
        <f>給与集計!B60</f>
        <v>000056</v>
      </c>
      <c r="L59" s="1" t="str">
        <f>給与集計!D60</f>
        <v>サンプル　太郎56</v>
      </c>
      <c r="M59" s="28"/>
      <c r="N59" s="33">
        <v>59600</v>
      </c>
      <c r="O59" s="33">
        <f t="shared" si="2"/>
        <v>0</v>
      </c>
      <c r="P59" s="28"/>
      <c r="Q59" s="33">
        <v>30400</v>
      </c>
      <c r="R59" s="33">
        <f t="shared" si="3"/>
        <v>0</v>
      </c>
      <c r="S59" s="33">
        <f t="shared" si="4"/>
        <v>0</v>
      </c>
      <c r="T59" s="69"/>
      <c r="U59" s="33">
        <f t="shared" si="5"/>
        <v>0</v>
      </c>
      <c r="V59" s="28" t="str">
        <f t="shared" si="6"/>
        <v/>
      </c>
      <c r="W59" s="26"/>
    </row>
    <row r="60" spans="1:23">
      <c r="A60" s="29" t="str">
        <f>給与集計!B61</f>
        <v>000057</v>
      </c>
      <c r="B60" s="1" t="str">
        <f>給与集計!D61</f>
        <v>サンプル　太郎57</v>
      </c>
      <c r="C60" s="28">
        <f ca="1">給与集計!Y61</f>
        <v>0</v>
      </c>
      <c r="D60" s="33">
        <v>1000</v>
      </c>
      <c r="E60" s="33">
        <f t="shared" ca="1" si="0"/>
        <v>0</v>
      </c>
      <c r="F60" s="28" t="str">
        <f t="shared" ca="1" si="1"/>
        <v/>
      </c>
      <c r="G60" s="24"/>
      <c r="K60" s="29" t="str">
        <f>給与集計!B61</f>
        <v>000057</v>
      </c>
      <c r="L60" s="1" t="str">
        <f>給与集計!D61</f>
        <v>サンプル　太郎57</v>
      </c>
      <c r="M60" s="28"/>
      <c r="N60" s="33">
        <v>59600</v>
      </c>
      <c r="O60" s="33">
        <f t="shared" si="2"/>
        <v>0</v>
      </c>
      <c r="P60" s="28"/>
      <c r="Q60" s="33">
        <v>30400</v>
      </c>
      <c r="R60" s="33">
        <f t="shared" si="3"/>
        <v>0</v>
      </c>
      <c r="S60" s="33">
        <f t="shared" si="4"/>
        <v>0</v>
      </c>
      <c r="T60" s="69"/>
      <c r="U60" s="33">
        <f t="shared" si="5"/>
        <v>0</v>
      </c>
      <c r="V60" s="28" t="str">
        <f t="shared" si="6"/>
        <v/>
      </c>
      <c r="W60" s="26"/>
    </row>
    <row r="61" spans="1:23">
      <c r="A61" s="29" t="str">
        <f>給与集計!B62</f>
        <v>000058</v>
      </c>
      <c r="B61" s="1" t="str">
        <f>給与集計!D62</f>
        <v>サンプル　太郎58</v>
      </c>
      <c r="C61" s="28">
        <f ca="1">給与集計!Y62</f>
        <v>0</v>
      </c>
      <c r="D61" s="33">
        <v>1000</v>
      </c>
      <c r="E61" s="33">
        <f t="shared" ca="1" si="0"/>
        <v>0</v>
      </c>
      <c r="F61" s="28" t="str">
        <f t="shared" ca="1" si="1"/>
        <v/>
      </c>
      <c r="G61" s="24"/>
      <c r="K61" s="29" t="str">
        <f>給与集計!B62</f>
        <v>000058</v>
      </c>
      <c r="L61" s="1" t="str">
        <f>給与集計!D62</f>
        <v>サンプル　太郎58</v>
      </c>
      <c r="M61" s="28"/>
      <c r="N61" s="33">
        <v>59600</v>
      </c>
      <c r="O61" s="33">
        <f t="shared" si="2"/>
        <v>0</v>
      </c>
      <c r="P61" s="28"/>
      <c r="Q61" s="33">
        <v>30400</v>
      </c>
      <c r="R61" s="33">
        <f t="shared" si="3"/>
        <v>0</v>
      </c>
      <c r="S61" s="33">
        <f t="shared" si="4"/>
        <v>0</v>
      </c>
      <c r="T61" s="69"/>
      <c r="U61" s="33">
        <f t="shared" si="5"/>
        <v>0</v>
      </c>
      <c r="V61" s="28" t="str">
        <f t="shared" si="6"/>
        <v/>
      </c>
      <c r="W61" s="26"/>
    </row>
    <row r="62" spans="1:23">
      <c r="A62" s="29" t="str">
        <f>給与集計!B63</f>
        <v>000059</v>
      </c>
      <c r="B62" s="1" t="str">
        <f>給与集計!D63</f>
        <v>サンプル　太郎59</v>
      </c>
      <c r="C62" s="28">
        <f ca="1">給与集計!Y63</f>
        <v>0</v>
      </c>
      <c r="D62" s="33">
        <v>1000</v>
      </c>
      <c r="E62" s="33">
        <f t="shared" ca="1" si="0"/>
        <v>0</v>
      </c>
      <c r="F62" s="28" t="str">
        <f t="shared" ca="1" si="1"/>
        <v/>
      </c>
      <c r="G62" s="24"/>
      <c r="K62" s="29" t="str">
        <f>給与集計!B63</f>
        <v>000059</v>
      </c>
      <c r="L62" s="1" t="str">
        <f>給与集計!D63</f>
        <v>サンプル　太郎59</v>
      </c>
      <c r="M62" s="28"/>
      <c r="N62" s="33">
        <v>59600</v>
      </c>
      <c r="O62" s="33">
        <f t="shared" si="2"/>
        <v>0</v>
      </c>
      <c r="P62" s="28"/>
      <c r="Q62" s="33">
        <v>30400</v>
      </c>
      <c r="R62" s="33">
        <f t="shared" si="3"/>
        <v>0</v>
      </c>
      <c r="S62" s="33">
        <f t="shared" si="4"/>
        <v>0</v>
      </c>
      <c r="T62" s="69"/>
      <c r="U62" s="33">
        <f t="shared" si="5"/>
        <v>0</v>
      </c>
      <c r="V62" s="28" t="str">
        <f t="shared" si="6"/>
        <v/>
      </c>
      <c r="W62" s="26"/>
    </row>
    <row r="63" spans="1:23">
      <c r="A63" s="29" t="str">
        <f>給与集計!B64</f>
        <v>000060</v>
      </c>
      <c r="B63" s="1" t="str">
        <f>給与集計!D64</f>
        <v>サンプル　太郎60</v>
      </c>
      <c r="C63" s="28">
        <f ca="1">給与集計!Y64</f>
        <v>0</v>
      </c>
      <c r="D63" s="33">
        <v>1000</v>
      </c>
      <c r="E63" s="33">
        <f t="shared" ca="1" si="0"/>
        <v>0</v>
      </c>
      <c r="F63" s="28" t="str">
        <f t="shared" ca="1" si="1"/>
        <v/>
      </c>
      <c r="G63" s="24"/>
      <c r="K63" s="29" t="str">
        <f>給与集計!B64</f>
        <v>000060</v>
      </c>
      <c r="L63" s="1" t="str">
        <f>給与集計!D64</f>
        <v>サンプル　太郎60</v>
      </c>
      <c r="M63" s="28"/>
      <c r="N63" s="33">
        <v>59600</v>
      </c>
      <c r="O63" s="33">
        <f t="shared" si="2"/>
        <v>0</v>
      </c>
      <c r="P63" s="28"/>
      <c r="Q63" s="33">
        <v>30400</v>
      </c>
      <c r="R63" s="33">
        <f t="shared" si="3"/>
        <v>0</v>
      </c>
      <c r="S63" s="33">
        <f t="shared" si="4"/>
        <v>0</v>
      </c>
      <c r="T63" s="69"/>
      <c r="U63" s="33">
        <f t="shared" si="5"/>
        <v>0</v>
      </c>
      <c r="V63" s="28" t="str">
        <f t="shared" si="6"/>
        <v/>
      </c>
      <c r="W63" s="26"/>
    </row>
    <row r="64" spans="1:23">
      <c r="A64" s="29" t="str">
        <f>給与集計!B65</f>
        <v>000061</v>
      </c>
      <c r="B64" s="1" t="str">
        <f>給与集計!D65</f>
        <v>サンプル　太郎61</v>
      </c>
      <c r="C64" s="28">
        <f ca="1">給与集計!Y65</f>
        <v>0</v>
      </c>
      <c r="D64" s="33">
        <v>1000</v>
      </c>
      <c r="E64" s="33">
        <f t="shared" ca="1" si="0"/>
        <v>0</v>
      </c>
      <c r="F64" s="28" t="str">
        <f t="shared" ca="1" si="1"/>
        <v/>
      </c>
      <c r="G64" s="24"/>
      <c r="K64" s="29" t="str">
        <f>給与集計!B65</f>
        <v>000061</v>
      </c>
      <c r="L64" s="1" t="str">
        <f>給与集計!D65</f>
        <v>サンプル　太郎61</v>
      </c>
      <c r="M64" s="28"/>
      <c r="N64" s="33">
        <v>59600</v>
      </c>
      <c r="O64" s="33">
        <f t="shared" si="2"/>
        <v>0</v>
      </c>
      <c r="P64" s="28"/>
      <c r="Q64" s="33">
        <v>30400</v>
      </c>
      <c r="R64" s="33">
        <f t="shared" si="3"/>
        <v>0</v>
      </c>
      <c r="S64" s="33">
        <f t="shared" si="4"/>
        <v>0</v>
      </c>
      <c r="T64" s="69"/>
      <c r="U64" s="33">
        <f t="shared" si="5"/>
        <v>0</v>
      </c>
      <c r="V64" s="28" t="str">
        <f t="shared" si="6"/>
        <v/>
      </c>
      <c r="W64" s="26"/>
    </row>
    <row r="65" spans="1:23">
      <c r="A65" s="29" t="str">
        <f>給与集計!B66</f>
        <v>000062</v>
      </c>
      <c r="B65" s="1" t="str">
        <f>給与集計!D66</f>
        <v>サンプル　太郎62</v>
      </c>
      <c r="C65" s="28">
        <f ca="1">給与集計!Y66</f>
        <v>0</v>
      </c>
      <c r="D65" s="33">
        <v>1000</v>
      </c>
      <c r="E65" s="33">
        <f t="shared" ca="1" si="0"/>
        <v>0</v>
      </c>
      <c r="F65" s="28" t="str">
        <f t="shared" ca="1" si="1"/>
        <v/>
      </c>
      <c r="G65" s="24"/>
      <c r="K65" s="29" t="str">
        <f>給与集計!B66</f>
        <v>000062</v>
      </c>
      <c r="L65" s="1" t="str">
        <f>給与集計!D66</f>
        <v>サンプル　太郎62</v>
      </c>
      <c r="M65" s="28"/>
      <c r="N65" s="33">
        <v>59600</v>
      </c>
      <c r="O65" s="33">
        <f t="shared" si="2"/>
        <v>0</v>
      </c>
      <c r="P65" s="28"/>
      <c r="Q65" s="33">
        <v>30400</v>
      </c>
      <c r="R65" s="33">
        <f t="shared" si="3"/>
        <v>0</v>
      </c>
      <c r="S65" s="33">
        <f t="shared" si="4"/>
        <v>0</v>
      </c>
      <c r="T65" s="69"/>
      <c r="U65" s="33">
        <f t="shared" si="5"/>
        <v>0</v>
      </c>
      <c r="V65" s="28" t="str">
        <f t="shared" si="6"/>
        <v/>
      </c>
      <c r="W65" s="26"/>
    </row>
    <row r="66" spans="1:23">
      <c r="A66" s="29" t="str">
        <f>給与集計!B67</f>
        <v>000063</v>
      </c>
      <c r="B66" s="1" t="str">
        <f>給与集計!D67</f>
        <v>サンプル　太郎63</v>
      </c>
      <c r="C66" s="28">
        <f ca="1">給与集計!Y67</f>
        <v>0</v>
      </c>
      <c r="D66" s="33">
        <v>1000</v>
      </c>
      <c r="E66" s="33">
        <f t="shared" ca="1" si="0"/>
        <v>0</v>
      </c>
      <c r="F66" s="28" t="str">
        <f t="shared" ca="1" si="1"/>
        <v/>
      </c>
      <c r="G66" s="24"/>
      <c r="K66" s="29" t="str">
        <f>給与集計!B67</f>
        <v>000063</v>
      </c>
      <c r="L66" s="1" t="str">
        <f>給与集計!D67</f>
        <v>サンプル　太郎63</v>
      </c>
      <c r="M66" s="28"/>
      <c r="N66" s="33">
        <v>59600</v>
      </c>
      <c r="O66" s="33">
        <f t="shared" si="2"/>
        <v>0</v>
      </c>
      <c r="P66" s="28"/>
      <c r="Q66" s="33">
        <v>30400</v>
      </c>
      <c r="R66" s="33">
        <f t="shared" si="3"/>
        <v>0</v>
      </c>
      <c r="S66" s="33">
        <f t="shared" si="4"/>
        <v>0</v>
      </c>
      <c r="T66" s="69"/>
      <c r="U66" s="33">
        <f t="shared" si="5"/>
        <v>0</v>
      </c>
      <c r="V66" s="28" t="str">
        <f t="shared" si="6"/>
        <v/>
      </c>
      <c r="W66" s="26"/>
    </row>
    <row r="67" spans="1:23">
      <c r="A67" s="29" t="str">
        <f>給与集計!B68</f>
        <v>000064</v>
      </c>
      <c r="B67" s="1" t="str">
        <f>給与集計!D68</f>
        <v>サンプル　太郎64</v>
      </c>
      <c r="C67" s="28">
        <f ca="1">給与集計!Y68</f>
        <v>0</v>
      </c>
      <c r="D67" s="33">
        <v>1000</v>
      </c>
      <c r="E67" s="33">
        <f t="shared" ca="1" si="0"/>
        <v>0</v>
      </c>
      <c r="F67" s="28" t="str">
        <f t="shared" ca="1" si="1"/>
        <v/>
      </c>
      <c r="G67" s="24"/>
      <c r="K67" s="29" t="str">
        <f>給与集計!B68</f>
        <v>000064</v>
      </c>
      <c r="L67" s="1" t="str">
        <f>給与集計!D68</f>
        <v>サンプル　太郎64</v>
      </c>
      <c r="M67" s="28"/>
      <c r="N67" s="33">
        <v>59600</v>
      </c>
      <c r="O67" s="33">
        <f t="shared" si="2"/>
        <v>0</v>
      </c>
      <c r="P67" s="28"/>
      <c r="Q67" s="33">
        <v>30400</v>
      </c>
      <c r="R67" s="33">
        <f t="shared" si="3"/>
        <v>0</v>
      </c>
      <c r="S67" s="33">
        <f t="shared" si="4"/>
        <v>0</v>
      </c>
      <c r="T67" s="69"/>
      <c r="U67" s="33">
        <f t="shared" si="5"/>
        <v>0</v>
      </c>
      <c r="V67" s="28" t="str">
        <f t="shared" si="6"/>
        <v/>
      </c>
      <c r="W67" s="26"/>
    </row>
    <row r="68" spans="1:23">
      <c r="A68" s="29" t="str">
        <f>給与集計!B69</f>
        <v>000065</v>
      </c>
      <c r="B68" s="1" t="str">
        <f>給与集計!D69</f>
        <v>サンプル　太郎65</v>
      </c>
      <c r="C68" s="28">
        <f ca="1">給与集計!Y69</f>
        <v>0</v>
      </c>
      <c r="D68" s="33">
        <v>1000</v>
      </c>
      <c r="E68" s="33">
        <f t="shared" ca="1" si="0"/>
        <v>0</v>
      </c>
      <c r="F68" s="28" t="str">
        <f t="shared" ca="1" si="1"/>
        <v/>
      </c>
      <c r="G68" s="24"/>
      <c r="K68" s="29" t="str">
        <f>給与集計!B69</f>
        <v>000065</v>
      </c>
      <c r="L68" s="1" t="str">
        <f>給与集計!D69</f>
        <v>サンプル　太郎65</v>
      </c>
      <c r="M68" s="28"/>
      <c r="N68" s="33">
        <v>59600</v>
      </c>
      <c r="O68" s="33">
        <f t="shared" si="2"/>
        <v>0</v>
      </c>
      <c r="P68" s="28"/>
      <c r="Q68" s="33">
        <v>30400</v>
      </c>
      <c r="R68" s="33">
        <f t="shared" si="3"/>
        <v>0</v>
      </c>
      <c r="S68" s="33">
        <f t="shared" si="4"/>
        <v>0</v>
      </c>
      <c r="T68" s="69"/>
      <c r="U68" s="33">
        <f t="shared" si="5"/>
        <v>0</v>
      </c>
      <c r="V68" s="28" t="str">
        <f t="shared" si="6"/>
        <v/>
      </c>
      <c r="W68" s="26"/>
    </row>
    <row r="69" spans="1:23">
      <c r="A69" s="29" t="str">
        <f>給与集計!B70</f>
        <v>000066</v>
      </c>
      <c r="B69" s="1" t="str">
        <f>給与集計!D70</f>
        <v>サンプル　太郎66</v>
      </c>
      <c r="C69" s="28">
        <f ca="1">給与集計!Y70</f>
        <v>0</v>
      </c>
      <c r="D69" s="33">
        <v>1000</v>
      </c>
      <c r="E69" s="33">
        <f t="shared" ref="E69:E89" ca="1" si="7">C69*D69</f>
        <v>0</v>
      </c>
      <c r="F69" s="28" t="str">
        <f t="shared" ref="F69:F89" ca="1" si="8">IF(E69=0,"","振込")</f>
        <v/>
      </c>
      <c r="G69" s="24"/>
      <c r="K69" s="29" t="str">
        <f>給与集計!B70</f>
        <v>000066</v>
      </c>
      <c r="L69" s="1" t="str">
        <f>給与集計!D70</f>
        <v>サンプル　太郎66</v>
      </c>
      <c r="M69" s="28"/>
      <c r="N69" s="33">
        <v>59600</v>
      </c>
      <c r="O69" s="33">
        <f t="shared" ref="O69:O89" si="9">M69*N69</f>
        <v>0</v>
      </c>
      <c r="P69" s="28"/>
      <c r="Q69" s="33">
        <v>30400</v>
      </c>
      <c r="R69" s="33">
        <f t="shared" ref="R69:R89" si="10">P69*Q69</f>
        <v>0</v>
      </c>
      <c r="S69" s="33">
        <f t="shared" ref="S69:S89" si="11">SUM(O69,R69)</f>
        <v>0</v>
      </c>
      <c r="T69" s="69"/>
      <c r="U69" s="33">
        <f t="shared" ref="U69:U89" si="12">S69-T69</f>
        <v>0</v>
      </c>
      <c r="V69" s="28" t="str">
        <f t="shared" ref="V69:V89" si="13">IF(U69=0,"","振込")</f>
        <v/>
      </c>
      <c r="W69" s="26"/>
    </row>
    <row r="70" spans="1:23">
      <c r="A70" s="29" t="str">
        <f>給与集計!B71</f>
        <v>000067</v>
      </c>
      <c r="B70" s="1" t="str">
        <f>給与集計!D71</f>
        <v>サンプル　太郎67</v>
      </c>
      <c r="C70" s="28">
        <f ca="1">給与集計!Y71</f>
        <v>0</v>
      </c>
      <c r="D70" s="33">
        <v>1000</v>
      </c>
      <c r="E70" s="33">
        <f t="shared" ca="1" si="7"/>
        <v>0</v>
      </c>
      <c r="F70" s="28" t="str">
        <f t="shared" ca="1" si="8"/>
        <v/>
      </c>
      <c r="G70" s="24"/>
      <c r="K70" s="29" t="str">
        <f>給与集計!B71</f>
        <v>000067</v>
      </c>
      <c r="L70" s="1" t="str">
        <f>給与集計!D71</f>
        <v>サンプル　太郎67</v>
      </c>
      <c r="M70" s="28"/>
      <c r="N70" s="33">
        <v>59600</v>
      </c>
      <c r="O70" s="33">
        <f t="shared" si="9"/>
        <v>0</v>
      </c>
      <c r="P70" s="28"/>
      <c r="Q70" s="33">
        <v>30400</v>
      </c>
      <c r="R70" s="33">
        <f t="shared" si="10"/>
        <v>0</v>
      </c>
      <c r="S70" s="33">
        <f t="shared" si="11"/>
        <v>0</v>
      </c>
      <c r="T70" s="69"/>
      <c r="U70" s="33">
        <f t="shared" si="12"/>
        <v>0</v>
      </c>
      <c r="V70" s="28" t="str">
        <f t="shared" si="13"/>
        <v/>
      </c>
      <c r="W70" s="26"/>
    </row>
    <row r="71" spans="1:23">
      <c r="A71" s="29" t="str">
        <f>給与集計!B72</f>
        <v>000068</v>
      </c>
      <c r="B71" s="1" t="str">
        <f>給与集計!D72</f>
        <v>サンプル　太郎68</v>
      </c>
      <c r="C71" s="28">
        <f ca="1">給与集計!Y72</f>
        <v>0</v>
      </c>
      <c r="D71" s="33">
        <v>1000</v>
      </c>
      <c r="E71" s="33">
        <f t="shared" ca="1" si="7"/>
        <v>0</v>
      </c>
      <c r="F71" s="28" t="str">
        <f t="shared" ca="1" si="8"/>
        <v/>
      </c>
      <c r="G71" s="24"/>
      <c r="K71" s="29" t="str">
        <f>給与集計!B72</f>
        <v>000068</v>
      </c>
      <c r="L71" s="1" t="str">
        <f>給与集計!D72</f>
        <v>サンプル　太郎68</v>
      </c>
      <c r="M71" s="28"/>
      <c r="N71" s="33">
        <v>59600</v>
      </c>
      <c r="O71" s="33">
        <f t="shared" si="9"/>
        <v>0</v>
      </c>
      <c r="P71" s="28"/>
      <c r="Q71" s="33">
        <v>30400</v>
      </c>
      <c r="R71" s="33">
        <f t="shared" si="10"/>
        <v>0</v>
      </c>
      <c r="S71" s="33">
        <f t="shared" si="11"/>
        <v>0</v>
      </c>
      <c r="T71" s="69"/>
      <c r="U71" s="33">
        <f t="shared" si="12"/>
        <v>0</v>
      </c>
      <c r="V71" s="28" t="str">
        <f t="shared" si="13"/>
        <v/>
      </c>
      <c r="W71" s="26"/>
    </row>
    <row r="72" spans="1:23">
      <c r="A72" s="29" t="str">
        <f>給与集計!B73</f>
        <v>000069</v>
      </c>
      <c r="B72" s="1" t="str">
        <f>給与集計!D73</f>
        <v>サンプル　太郎69</v>
      </c>
      <c r="C72" s="28">
        <f ca="1">給与集計!Y73</f>
        <v>0</v>
      </c>
      <c r="D72" s="33">
        <v>1000</v>
      </c>
      <c r="E72" s="33">
        <f t="shared" ca="1" si="7"/>
        <v>0</v>
      </c>
      <c r="F72" s="28" t="str">
        <f t="shared" ca="1" si="8"/>
        <v/>
      </c>
      <c r="G72" s="24"/>
      <c r="K72" s="29" t="str">
        <f>給与集計!B73</f>
        <v>000069</v>
      </c>
      <c r="L72" s="1" t="str">
        <f>給与集計!D73</f>
        <v>サンプル　太郎69</v>
      </c>
      <c r="M72" s="28"/>
      <c r="N72" s="33">
        <v>59600</v>
      </c>
      <c r="O72" s="33">
        <f t="shared" si="9"/>
        <v>0</v>
      </c>
      <c r="P72" s="28"/>
      <c r="Q72" s="33">
        <v>30400</v>
      </c>
      <c r="R72" s="33">
        <f t="shared" si="10"/>
        <v>0</v>
      </c>
      <c r="S72" s="33">
        <f t="shared" si="11"/>
        <v>0</v>
      </c>
      <c r="T72" s="69"/>
      <c r="U72" s="33">
        <f t="shared" si="12"/>
        <v>0</v>
      </c>
      <c r="V72" s="28" t="str">
        <f t="shared" si="13"/>
        <v/>
      </c>
      <c r="W72" s="26"/>
    </row>
    <row r="73" spans="1:23">
      <c r="A73" s="29" t="str">
        <f>給与集計!B74</f>
        <v>000070</v>
      </c>
      <c r="B73" s="1" t="str">
        <f>給与集計!D74</f>
        <v>サンプル　太郎70</v>
      </c>
      <c r="C73" s="28">
        <f ca="1">給与集計!Y74</f>
        <v>0</v>
      </c>
      <c r="D73" s="33">
        <v>1000</v>
      </c>
      <c r="E73" s="33">
        <f t="shared" ca="1" si="7"/>
        <v>0</v>
      </c>
      <c r="F73" s="28" t="str">
        <f t="shared" ca="1" si="8"/>
        <v/>
      </c>
      <c r="G73" s="24"/>
      <c r="K73" s="29" t="str">
        <f>給与集計!B74</f>
        <v>000070</v>
      </c>
      <c r="L73" s="1" t="str">
        <f>給与集計!D74</f>
        <v>サンプル　太郎70</v>
      </c>
      <c r="M73" s="28"/>
      <c r="N73" s="33">
        <v>59600</v>
      </c>
      <c r="O73" s="33">
        <f t="shared" si="9"/>
        <v>0</v>
      </c>
      <c r="P73" s="28"/>
      <c r="Q73" s="33">
        <v>30400</v>
      </c>
      <c r="R73" s="33">
        <f t="shared" si="10"/>
        <v>0</v>
      </c>
      <c r="S73" s="33">
        <f t="shared" si="11"/>
        <v>0</v>
      </c>
      <c r="T73" s="69"/>
      <c r="U73" s="33">
        <f t="shared" si="12"/>
        <v>0</v>
      </c>
      <c r="V73" s="28" t="str">
        <f t="shared" si="13"/>
        <v/>
      </c>
      <c r="W73" s="26"/>
    </row>
    <row r="74" spans="1:23">
      <c r="A74" s="29" t="str">
        <f>給与集計!B75</f>
        <v>000071</v>
      </c>
      <c r="B74" s="1" t="str">
        <f>給与集計!D75</f>
        <v>サンプル　太郎71</v>
      </c>
      <c r="C74" s="28">
        <f ca="1">給与集計!Y75</f>
        <v>0</v>
      </c>
      <c r="D74" s="33">
        <v>1000</v>
      </c>
      <c r="E74" s="33">
        <f t="shared" ca="1" si="7"/>
        <v>0</v>
      </c>
      <c r="F74" s="28" t="str">
        <f t="shared" ca="1" si="8"/>
        <v/>
      </c>
      <c r="G74" s="24"/>
      <c r="K74" s="29" t="str">
        <f>給与集計!B75</f>
        <v>000071</v>
      </c>
      <c r="L74" s="1" t="str">
        <f>給与集計!D75</f>
        <v>サンプル　太郎71</v>
      </c>
      <c r="M74" s="28"/>
      <c r="N74" s="33">
        <v>59600</v>
      </c>
      <c r="O74" s="33">
        <f t="shared" si="9"/>
        <v>0</v>
      </c>
      <c r="P74" s="28"/>
      <c r="Q74" s="33">
        <v>30400</v>
      </c>
      <c r="R74" s="33">
        <f t="shared" si="10"/>
        <v>0</v>
      </c>
      <c r="S74" s="33">
        <f t="shared" si="11"/>
        <v>0</v>
      </c>
      <c r="T74" s="69"/>
      <c r="U74" s="33">
        <f t="shared" si="12"/>
        <v>0</v>
      </c>
      <c r="V74" s="28" t="str">
        <f t="shared" si="13"/>
        <v/>
      </c>
      <c r="W74" s="26"/>
    </row>
    <row r="75" spans="1:23">
      <c r="A75" s="29" t="str">
        <f>給与集計!B76</f>
        <v>000072</v>
      </c>
      <c r="B75" s="1" t="str">
        <f>給与集計!D76</f>
        <v>サンプル　太郎72</v>
      </c>
      <c r="C75" s="28">
        <f ca="1">給与集計!Y76</f>
        <v>0</v>
      </c>
      <c r="D75" s="33">
        <v>1000</v>
      </c>
      <c r="E75" s="33">
        <f t="shared" ca="1" si="7"/>
        <v>0</v>
      </c>
      <c r="F75" s="28" t="str">
        <f t="shared" ca="1" si="8"/>
        <v/>
      </c>
      <c r="G75" s="24"/>
      <c r="K75" s="29" t="str">
        <f>給与集計!B76</f>
        <v>000072</v>
      </c>
      <c r="L75" s="1" t="str">
        <f>給与集計!D76</f>
        <v>サンプル　太郎72</v>
      </c>
      <c r="M75" s="28"/>
      <c r="N75" s="33">
        <v>59600</v>
      </c>
      <c r="O75" s="33">
        <f t="shared" si="9"/>
        <v>0</v>
      </c>
      <c r="P75" s="28"/>
      <c r="Q75" s="33">
        <v>30400</v>
      </c>
      <c r="R75" s="33">
        <f t="shared" si="10"/>
        <v>0</v>
      </c>
      <c r="S75" s="33">
        <f t="shared" si="11"/>
        <v>0</v>
      </c>
      <c r="T75" s="69"/>
      <c r="U75" s="33">
        <f t="shared" si="12"/>
        <v>0</v>
      </c>
      <c r="V75" s="28" t="str">
        <f t="shared" si="13"/>
        <v/>
      </c>
      <c r="W75" s="26"/>
    </row>
    <row r="76" spans="1:23">
      <c r="A76" s="29" t="str">
        <f>給与集計!B77</f>
        <v>000073</v>
      </c>
      <c r="B76" s="1" t="str">
        <f>給与集計!D77</f>
        <v>サンプル　太郎73</v>
      </c>
      <c r="C76" s="28">
        <f ca="1">給与集計!Y77</f>
        <v>0</v>
      </c>
      <c r="D76" s="33">
        <v>1000</v>
      </c>
      <c r="E76" s="33">
        <f t="shared" ca="1" si="7"/>
        <v>0</v>
      </c>
      <c r="F76" s="28" t="str">
        <f t="shared" ca="1" si="8"/>
        <v/>
      </c>
      <c r="G76" s="24"/>
      <c r="K76" s="29" t="str">
        <f>給与集計!B77</f>
        <v>000073</v>
      </c>
      <c r="L76" s="1" t="str">
        <f>給与集計!D77</f>
        <v>サンプル　太郎73</v>
      </c>
      <c r="M76" s="28"/>
      <c r="N76" s="33">
        <v>59600</v>
      </c>
      <c r="O76" s="33">
        <f t="shared" si="9"/>
        <v>0</v>
      </c>
      <c r="P76" s="28"/>
      <c r="Q76" s="33">
        <v>30400</v>
      </c>
      <c r="R76" s="33">
        <f t="shared" si="10"/>
        <v>0</v>
      </c>
      <c r="S76" s="33">
        <f t="shared" si="11"/>
        <v>0</v>
      </c>
      <c r="T76" s="69"/>
      <c r="U76" s="33">
        <f t="shared" si="12"/>
        <v>0</v>
      </c>
      <c r="V76" s="28" t="str">
        <f t="shared" si="13"/>
        <v/>
      </c>
      <c r="W76" s="26"/>
    </row>
    <row r="77" spans="1:23">
      <c r="A77" s="29" t="str">
        <f>給与集計!B78</f>
        <v>000074</v>
      </c>
      <c r="B77" s="1" t="str">
        <f>給与集計!D78</f>
        <v>サンプル　太郎74</v>
      </c>
      <c r="C77" s="28">
        <f ca="1">給与集計!Y78</f>
        <v>0</v>
      </c>
      <c r="D77" s="33">
        <v>1000</v>
      </c>
      <c r="E77" s="33">
        <f t="shared" ca="1" si="7"/>
        <v>0</v>
      </c>
      <c r="F77" s="28" t="str">
        <f t="shared" ca="1" si="8"/>
        <v/>
      </c>
      <c r="G77" s="24"/>
      <c r="K77" s="29" t="str">
        <f>給与集計!B78</f>
        <v>000074</v>
      </c>
      <c r="L77" s="1" t="str">
        <f>給与集計!D78</f>
        <v>サンプル　太郎74</v>
      </c>
      <c r="M77" s="28"/>
      <c r="N77" s="33">
        <v>59600</v>
      </c>
      <c r="O77" s="33">
        <f t="shared" si="9"/>
        <v>0</v>
      </c>
      <c r="P77" s="28"/>
      <c r="Q77" s="33">
        <v>30400</v>
      </c>
      <c r="R77" s="33">
        <f t="shared" si="10"/>
        <v>0</v>
      </c>
      <c r="S77" s="33">
        <f t="shared" si="11"/>
        <v>0</v>
      </c>
      <c r="T77" s="69"/>
      <c r="U77" s="33">
        <f t="shared" si="12"/>
        <v>0</v>
      </c>
      <c r="V77" s="28" t="str">
        <f t="shared" si="13"/>
        <v/>
      </c>
      <c r="W77" s="26"/>
    </row>
    <row r="78" spans="1:23">
      <c r="A78" s="29" t="str">
        <f>給与集計!B79</f>
        <v>000075</v>
      </c>
      <c r="B78" s="1" t="str">
        <f>給与集計!D79</f>
        <v>サンプル　太郎75</v>
      </c>
      <c r="C78" s="28">
        <f ca="1">給与集計!Y79</f>
        <v>0</v>
      </c>
      <c r="D78" s="33">
        <v>1000</v>
      </c>
      <c r="E78" s="33">
        <f t="shared" ca="1" si="7"/>
        <v>0</v>
      </c>
      <c r="F78" s="28" t="str">
        <f t="shared" ca="1" si="8"/>
        <v/>
      </c>
      <c r="G78" s="24"/>
      <c r="K78" s="29" t="str">
        <f>給与集計!B79</f>
        <v>000075</v>
      </c>
      <c r="L78" s="1" t="str">
        <f>給与集計!D79</f>
        <v>サンプル　太郎75</v>
      </c>
      <c r="M78" s="28"/>
      <c r="N78" s="33">
        <v>59600</v>
      </c>
      <c r="O78" s="33">
        <f t="shared" si="9"/>
        <v>0</v>
      </c>
      <c r="P78" s="28"/>
      <c r="Q78" s="33">
        <v>30400</v>
      </c>
      <c r="R78" s="33">
        <f t="shared" si="10"/>
        <v>0</v>
      </c>
      <c r="S78" s="33">
        <f t="shared" si="11"/>
        <v>0</v>
      </c>
      <c r="T78" s="69"/>
      <c r="U78" s="33">
        <f t="shared" si="12"/>
        <v>0</v>
      </c>
      <c r="V78" s="28" t="str">
        <f t="shared" si="13"/>
        <v/>
      </c>
      <c r="W78" s="26"/>
    </row>
    <row r="79" spans="1:23">
      <c r="A79" s="29" t="str">
        <f>給与集計!B80</f>
        <v>000076</v>
      </c>
      <c r="B79" s="1" t="str">
        <f>給与集計!D80</f>
        <v>サンプル　太郎76</v>
      </c>
      <c r="C79" s="28">
        <f ca="1">給与集計!Y80</f>
        <v>0</v>
      </c>
      <c r="D79" s="33">
        <v>1000</v>
      </c>
      <c r="E79" s="33">
        <f t="shared" ca="1" si="7"/>
        <v>0</v>
      </c>
      <c r="F79" s="28" t="str">
        <f t="shared" ca="1" si="8"/>
        <v/>
      </c>
      <c r="G79" s="24"/>
      <c r="K79" s="29" t="str">
        <f>給与集計!B80</f>
        <v>000076</v>
      </c>
      <c r="L79" s="1" t="str">
        <f>給与集計!D80</f>
        <v>サンプル　太郎76</v>
      </c>
      <c r="M79" s="28"/>
      <c r="N79" s="33">
        <v>59600</v>
      </c>
      <c r="O79" s="33">
        <f t="shared" si="9"/>
        <v>0</v>
      </c>
      <c r="P79" s="28"/>
      <c r="Q79" s="33">
        <v>30400</v>
      </c>
      <c r="R79" s="33">
        <f t="shared" si="10"/>
        <v>0</v>
      </c>
      <c r="S79" s="33">
        <f t="shared" si="11"/>
        <v>0</v>
      </c>
      <c r="T79" s="69"/>
      <c r="U79" s="33">
        <f t="shared" si="12"/>
        <v>0</v>
      </c>
      <c r="V79" s="28" t="str">
        <f t="shared" si="13"/>
        <v/>
      </c>
      <c r="W79" s="26"/>
    </row>
    <row r="80" spans="1:23">
      <c r="A80" s="29" t="str">
        <f>給与集計!B81</f>
        <v>000077</v>
      </c>
      <c r="B80" s="1" t="str">
        <f>給与集計!D81</f>
        <v>サンプル　太郎77</v>
      </c>
      <c r="C80" s="28">
        <f ca="1">給与集計!Y81</f>
        <v>0</v>
      </c>
      <c r="D80" s="33">
        <v>1000</v>
      </c>
      <c r="E80" s="33">
        <f t="shared" ca="1" si="7"/>
        <v>0</v>
      </c>
      <c r="F80" s="28" t="str">
        <f t="shared" ca="1" si="8"/>
        <v/>
      </c>
      <c r="G80" s="24"/>
      <c r="K80" s="29" t="str">
        <f>給与集計!B81</f>
        <v>000077</v>
      </c>
      <c r="L80" s="1" t="str">
        <f>給与集計!D81</f>
        <v>サンプル　太郎77</v>
      </c>
      <c r="M80" s="28"/>
      <c r="N80" s="33">
        <v>59600</v>
      </c>
      <c r="O80" s="33">
        <f t="shared" si="9"/>
        <v>0</v>
      </c>
      <c r="P80" s="28"/>
      <c r="Q80" s="33">
        <v>30400</v>
      </c>
      <c r="R80" s="33">
        <f t="shared" si="10"/>
        <v>0</v>
      </c>
      <c r="S80" s="33">
        <f t="shared" si="11"/>
        <v>0</v>
      </c>
      <c r="T80" s="69"/>
      <c r="U80" s="33">
        <f t="shared" si="12"/>
        <v>0</v>
      </c>
      <c r="V80" s="28" t="str">
        <f t="shared" si="13"/>
        <v/>
      </c>
      <c r="W80" s="26"/>
    </row>
    <row r="81" spans="1:23">
      <c r="A81" s="29" t="str">
        <f>給与集計!B82</f>
        <v>000078</v>
      </c>
      <c r="B81" s="1" t="str">
        <f>給与集計!D82</f>
        <v>サンプル　太郎78</v>
      </c>
      <c r="C81" s="28">
        <f ca="1">給与集計!Y82</f>
        <v>0</v>
      </c>
      <c r="D81" s="33">
        <v>1000</v>
      </c>
      <c r="E81" s="33">
        <f t="shared" ca="1" si="7"/>
        <v>0</v>
      </c>
      <c r="F81" s="28" t="str">
        <f t="shared" ca="1" si="8"/>
        <v/>
      </c>
      <c r="G81" s="24"/>
      <c r="K81" s="29" t="str">
        <f>給与集計!B82</f>
        <v>000078</v>
      </c>
      <c r="L81" s="1" t="str">
        <f>給与集計!D82</f>
        <v>サンプル　太郎78</v>
      </c>
      <c r="M81" s="28"/>
      <c r="N81" s="33">
        <v>59600</v>
      </c>
      <c r="O81" s="33">
        <f t="shared" si="9"/>
        <v>0</v>
      </c>
      <c r="P81" s="28"/>
      <c r="Q81" s="33">
        <v>30400</v>
      </c>
      <c r="R81" s="33">
        <f t="shared" si="10"/>
        <v>0</v>
      </c>
      <c r="S81" s="33">
        <f t="shared" si="11"/>
        <v>0</v>
      </c>
      <c r="T81" s="69"/>
      <c r="U81" s="33">
        <f t="shared" si="12"/>
        <v>0</v>
      </c>
      <c r="V81" s="28" t="str">
        <f t="shared" si="13"/>
        <v/>
      </c>
      <c r="W81" s="26"/>
    </row>
    <row r="82" spans="1:23">
      <c r="A82" s="29" t="str">
        <f>給与集計!B83</f>
        <v>000079</v>
      </c>
      <c r="B82" s="1" t="str">
        <f>給与集計!D83</f>
        <v>サンプル　太郎79</v>
      </c>
      <c r="C82" s="28">
        <f ca="1">給与集計!Y83</f>
        <v>0</v>
      </c>
      <c r="D82" s="33">
        <v>1000</v>
      </c>
      <c r="E82" s="33">
        <f t="shared" ca="1" si="7"/>
        <v>0</v>
      </c>
      <c r="F82" s="28" t="str">
        <f t="shared" ca="1" si="8"/>
        <v/>
      </c>
      <c r="G82" s="24"/>
      <c r="K82" s="29" t="str">
        <f>給与集計!B83</f>
        <v>000079</v>
      </c>
      <c r="L82" s="1" t="str">
        <f>給与集計!D83</f>
        <v>サンプル　太郎79</v>
      </c>
      <c r="M82" s="28"/>
      <c r="N82" s="33">
        <v>59600</v>
      </c>
      <c r="O82" s="33">
        <f t="shared" si="9"/>
        <v>0</v>
      </c>
      <c r="P82" s="28"/>
      <c r="Q82" s="33">
        <v>30400</v>
      </c>
      <c r="R82" s="33">
        <f t="shared" si="10"/>
        <v>0</v>
      </c>
      <c r="S82" s="33">
        <f t="shared" si="11"/>
        <v>0</v>
      </c>
      <c r="T82" s="69"/>
      <c r="U82" s="33">
        <f t="shared" si="12"/>
        <v>0</v>
      </c>
      <c r="V82" s="28" t="str">
        <f t="shared" si="13"/>
        <v/>
      </c>
      <c r="W82" s="26"/>
    </row>
    <row r="83" spans="1:23">
      <c r="A83" s="29" t="str">
        <f>給与集計!B84</f>
        <v>000080</v>
      </c>
      <c r="B83" s="1" t="str">
        <f>給与集計!D84</f>
        <v>サンプル　太郎80</v>
      </c>
      <c r="C83" s="28">
        <f ca="1">給与集計!Y84</f>
        <v>0</v>
      </c>
      <c r="D83" s="33">
        <v>1000</v>
      </c>
      <c r="E83" s="33">
        <f t="shared" ca="1" si="7"/>
        <v>0</v>
      </c>
      <c r="F83" s="28" t="str">
        <f t="shared" ca="1" si="8"/>
        <v/>
      </c>
      <c r="G83" s="24"/>
      <c r="K83" s="29" t="str">
        <f>給与集計!B84</f>
        <v>000080</v>
      </c>
      <c r="L83" s="1" t="str">
        <f>給与集計!D84</f>
        <v>サンプル　太郎80</v>
      </c>
      <c r="M83" s="28"/>
      <c r="N83" s="33">
        <v>59600</v>
      </c>
      <c r="O83" s="33">
        <f t="shared" si="9"/>
        <v>0</v>
      </c>
      <c r="P83" s="28"/>
      <c r="Q83" s="33">
        <v>30400</v>
      </c>
      <c r="R83" s="33">
        <f t="shared" si="10"/>
        <v>0</v>
      </c>
      <c r="S83" s="33">
        <f t="shared" si="11"/>
        <v>0</v>
      </c>
      <c r="T83" s="69"/>
      <c r="U83" s="33">
        <f t="shared" si="12"/>
        <v>0</v>
      </c>
      <c r="V83" s="28" t="str">
        <f t="shared" si="13"/>
        <v/>
      </c>
      <c r="W83" s="26"/>
    </row>
    <row r="84" spans="1:23">
      <c r="A84" s="29" t="str">
        <f>給与集計!B85</f>
        <v>000081</v>
      </c>
      <c r="B84" s="1" t="str">
        <f>給与集計!D85</f>
        <v>サンプル　太郎81</v>
      </c>
      <c r="C84" s="28">
        <f ca="1">給与集計!Y85</f>
        <v>0</v>
      </c>
      <c r="D84" s="33">
        <v>1000</v>
      </c>
      <c r="E84" s="33">
        <f t="shared" ca="1" si="7"/>
        <v>0</v>
      </c>
      <c r="F84" s="28" t="str">
        <f t="shared" ca="1" si="8"/>
        <v/>
      </c>
      <c r="G84" s="24"/>
      <c r="K84" s="29" t="str">
        <f>給与集計!B85</f>
        <v>000081</v>
      </c>
      <c r="L84" s="1" t="str">
        <f>給与集計!D85</f>
        <v>サンプル　太郎81</v>
      </c>
      <c r="M84" s="28"/>
      <c r="N84" s="33">
        <v>59600</v>
      </c>
      <c r="O84" s="33">
        <f t="shared" si="9"/>
        <v>0</v>
      </c>
      <c r="P84" s="28"/>
      <c r="Q84" s="33">
        <v>30400</v>
      </c>
      <c r="R84" s="33">
        <f t="shared" si="10"/>
        <v>0</v>
      </c>
      <c r="S84" s="33">
        <f t="shared" si="11"/>
        <v>0</v>
      </c>
      <c r="T84" s="69"/>
      <c r="U84" s="33">
        <f t="shared" si="12"/>
        <v>0</v>
      </c>
      <c r="V84" s="28" t="str">
        <f t="shared" si="13"/>
        <v/>
      </c>
      <c r="W84" s="26"/>
    </row>
    <row r="85" spans="1:23">
      <c r="A85" s="29" t="str">
        <f>給与集計!B86</f>
        <v>000082</v>
      </c>
      <c r="B85" s="1" t="str">
        <f>給与集計!D86</f>
        <v>サンプル　太郎82</v>
      </c>
      <c r="C85" s="28">
        <f ca="1">給与集計!Y86</f>
        <v>0</v>
      </c>
      <c r="D85" s="33">
        <v>1000</v>
      </c>
      <c r="E85" s="33">
        <f t="shared" ca="1" si="7"/>
        <v>0</v>
      </c>
      <c r="F85" s="28" t="str">
        <f t="shared" ca="1" si="8"/>
        <v/>
      </c>
      <c r="G85" s="24"/>
      <c r="K85" s="29" t="str">
        <f>給与集計!B86</f>
        <v>000082</v>
      </c>
      <c r="L85" s="1" t="str">
        <f>給与集計!D86</f>
        <v>サンプル　太郎82</v>
      </c>
      <c r="M85" s="28"/>
      <c r="N85" s="33">
        <v>59600</v>
      </c>
      <c r="O85" s="33">
        <f t="shared" si="9"/>
        <v>0</v>
      </c>
      <c r="P85" s="28"/>
      <c r="Q85" s="33">
        <v>30400</v>
      </c>
      <c r="R85" s="33">
        <f t="shared" si="10"/>
        <v>0</v>
      </c>
      <c r="S85" s="33">
        <f t="shared" si="11"/>
        <v>0</v>
      </c>
      <c r="T85" s="69"/>
      <c r="U85" s="33">
        <f t="shared" si="12"/>
        <v>0</v>
      </c>
      <c r="V85" s="28" t="str">
        <f t="shared" si="13"/>
        <v/>
      </c>
      <c r="W85" s="26"/>
    </row>
    <row r="86" spans="1:23">
      <c r="A86" s="29" t="str">
        <f>給与集計!B87</f>
        <v>000083</v>
      </c>
      <c r="B86" s="1" t="str">
        <f>給与集計!D87</f>
        <v>サンプル　太郎83</v>
      </c>
      <c r="C86" s="28">
        <f ca="1">給与集計!Y87</f>
        <v>0</v>
      </c>
      <c r="D86" s="33">
        <v>1000</v>
      </c>
      <c r="E86" s="33">
        <f t="shared" ca="1" si="7"/>
        <v>0</v>
      </c>
      <c r="F86" s="28" t="str">
        <f t="shared" ca="1" si="8"/>
        <v/>
      </c>
      <c r="G86" s="24"/>
      <c r="K86" s="29" t="str">
        <f>給与集計!B87</f>
        <v>000083</v>
      </c>
      <c r="L86" s="1" t="str">
        <f>給与集計!D87</f>
        <v>サンプル　太郎83</v>
      </c>
      <c r="M86" s="28"/>
      <c r="N86" s="33">
        <v>59600</v>
      </c>
      <c r="O86" s="33">
        <f t="shared" si="9"/>
        <v>0</v>
      </c>
      <c r="P86" s="28"/>
      <c r="Q86" s="33">
        <v>30400</v>
      </c>
      <c r="R86" s="33">
        <f t="shared" si="10"/>
        <v>0</v>
      </c>
      <c r="S86" s="33">
        <f t="shared" si="11"/>
        <v>0</v>
      </c>
      <c r="T86" s="69"/>
      <c r="U86" s="33">
        <f t="shared" si="12"/>
        <v>0</v>
      </c>
      <c r="V86" s="28" t="str">
        <f t="shared" si="13"/>
        <v/>
      </c>
      <c r="W86" s="26"/>
    </row>
    <row r="87" spans="1:23">
      <c r="A87" s="29" t="str">
        <f>給与集計!B88</f>
        <v>000084</v>
      </c>
      <c r="B87" s="1" t="str">
        <f>給与集計!D88</f>
        <v>サンプル　太郎84</v>
      </c>
      <c r="C87" s="28">
        <f ca="1">給与集計!Y88</f>
        <v>0</v>
      </c>
      <c r="D87" s="33">
        <v>1000</v>
      </c>
      <c r="E87" s="33">
        <f t="shared" ca="1" si="7"/>
        <v>0</v>
      </c>
      <c r="F87" s="28" t="str">
        <f t="shared" ca="1" si="8"/>
        <v/>
      </c>
      <c r="G87" s="24"/>
      <c r="K87" s="29" t="str">
        <f>給与集計!B88</f>
        <v>000084</v>
      </c>
      <c r="L87" s="1" t="str">
        <f>給与集計!D88</f>
        <v>サンプル　太郎84</v>
      </c>
      <c r="M87" s="28"/>
      <c r="N87" s="33">
        <v>59600</v>
      </c>
      <c r="O87" s="33">
        <f t="shared" si="9"/>
        <v>0</v>
      </c>
      <c r="P87" s="28"/>
      <c r="Q87" s="33">
        <v>30400</v>
      </c>
      <c r="R87" s="33">
        <f t="shared" si="10"/>
        <v>0</v>
      </c>
      <c r="S87" s="33">
        <f t="shared" si="11"/>
        <v>0</v>
      </c>
      <c r="T87" s="69"/>
      <c r="U87" s="33">
        <f t="shared" si="12"/>
        <v>0</v>
      </c>
      <c r="V87" s="28" t="str">
        <f t="shared" si="13"/>
        <v/>
      </c>
      <c r="W87" s="26"/>
    </row>
    <row r="88" spans="1:23">
      <c r="A88" s="29" t="str">
        <f>給与集計!B89</f>
        <v>000085</v>
      </c>
      <c r="B88" s="1" t="str">
        <f>給与集計!D89</f>
        <v>サンプル　太郎85</v>
      </c>
      <c r="C88" s="28">
        <f ca="1">給与集計!Y89</f>
        <v>0</v>
      </c>
      <c r="D88" s="33">
        <v>1000</v>
      </c>
      <c r="E88" s="33">
        <f t="shared" ca="1" si="7"/>
        <v>0</v>
      </c>
      <c r="F88" s="28" t="str">
        <f t="shared" ca="1" si="8"/>
        <v/>
      </c>
      <c r="G88" s="24"/>
      <c r="K88" s="29" t="str">
        <f>給与集計!B89</f>
        <v>000085</v>
      </c>
      <c r="L88" s="1" t="str">
        <f>給与集計!D89</f>
        <v>サンプル　太郎85</v>
      </c>
      <c r="M88" s="28"/>
      <c r="N88" s="33">
        <v>59600</v>
      </c>
      <c r="O88" s="33">
        <f t="shared" si="9"/>
        <v>0</v>
      </c>
      <c r="P88" s="28"/>
      <c r="Q88" s="33">
        <v>30400</v>
      </c>
      <c r="R88" s="33">
        <f t="shared" si="10"/>
        <v>0</v>
      </c>
      <c r="S88" s="33">
        <f t="shared" si="11"/>
        <v>0</v>
      </c>
      <c r="T88" s="69"/>
      <c r="U88" s="33">
        <f t="shared" si="12"/>
        <v>0</v>
      </c>
      <c r="V88" s="28" t="str">
        <f t="shared" si="13"/>
        <v/>
      </c>
      <c r="W88" s="26"/>
    </row>
    <row r="89" spans="1:23">
      <c r="A89" s="29" t="str">
        <f>給与集計!B90</f>
        <v>000086</v>
      </c>
      <c r="B89" s="1" t="str">
        <f>給与集計!D90</f>
        <v>サンプル　太郎86</v>
      </c>
      <c r="C89" s="28">
        <f ca="1">給与集計!Y90</f>
        <v>0</v>
      </c>
      <c r="D89" s="33">
        <v>1000</v>
      </c>
      <c r="E89" s="33">
        <f t="shared" ca="1" si="7"/>
        <v>0</v>
      </c>
      <c r="F89" s="28" t="str">
        <f t="shared" ca="1" si="8"/>
        <v/>
      </c>
      <c r="G89" s="24"/>
      <c r="K89" s="29" t="str">
        <f>給与集計!B90</f>
        <v>000086</v>
      </c>
      <c r="L89" s="1" t="str">
        <f>給与集計!D90</f>
        <v>サンプル　太郎86</v>
      </c>
      <c r="M89" s="28"/>
      <c r="N89" s="33">
        <v>59600</v>
      </c>
      <c r="O89" s="33">
        <f t="shared" si="9"/>
        <v>0</v>
      </c>
      <c r="P89" s="28"/>
      <c r="Q89" s="33">
        <v>30400</v>
      </c>
      <c r="R89" s="33">
        <f t="shared" si="10"/>
        <v>0</v>
      </c>
      <c r="S89" s="33">
        <f t="shared" si="11"/>
        <v>0</v>
      </c>
      <c r="T89" s="69"/>
      <c r="U89" s="33">
        <f t="shared" si="12"/>
        <v>0</v>
      </c>
      <c r="V89" s="28" t="str">
        <f t="shared" si="13"/>
        <v/>
      </c>
      <c r="W89" s="26"/>
    </row>
    <row r="90" spans="1:23">
      <c r="A90" s="164" t="s">
        <v>83</v>
      </c>
      <c r="B90" s="164"/>
      <c r="C90" s="28">
        <f ca="1">SUM(C4:C89)</f>
        <v>42</v>
      </c>
      <c r="D90" s="62" t="s">
        <v>81</v>
      </c>
      <c r="E90" s="33">
        <f ca="1">SUM(E4:E89)</f>
        <v>42000</v>
      </c>
      <c r="F90" s="28" t="s">
        <v>81</v>
      </c>
      <c r="G90" s="24"/>
      <c r="K90" s="165" t="s">
        <v>83</v>
      </c>
      <c r="L90" s="165"/>
      <c r="M90" s="28">
        <f>SUM(M4:M89)</f>
        <v>3</v>
      </c>
      <c r="N90" s="62" t="s">
        <v>81</v>
      </c>
      <c r="O90" s="33">
        <f>SUM(O4:O89)</f>
        <v>178800</v>
      </c>
      <c r="P90" s="28">
        <f>SUM(P4:P89)</f>
        <v>1</v>
      </c>
      <c r="Q90" s="62" t="s">
        <v>81</v>
      </c>
      <c r="R90" s="33">
        <f>SUM(R4:R89)</f>
        <v>30400</v>
      </c>
      <c r="S90" s="33">
        <f>SUM(S4:S89)</f>
        <v>209200</v>
      </c>
      <c r="T90" s="69">
        <f>SUM(T4:T89)</f>
        <v>0</v>
      </c>
      <c r="U90" s="33">
        <f>SUM(U4:U89)</f>
        <v>209200</v>
      </c>
      <c r="V90" s="28" t="s">
        <v>81</v>
      </c>
      <c r="W90" s="26"/>
    </row>
  </sheetData>
  <mergeCells count="18">
    <mergeCell ref="F2:F3"/>
    <mergeCell ref="G2:G3"/>
    <mergeCell ref="A90:B90"/>
    <mergeCell ref="K90:L90"/>
    <mergeCell ref="W2:W3"/>
    <mergeCell ref="K1:W1"/>
    <mergeCell ref="K2:K3"/>
    <mergeCell ref="L2:L3"/>
    <mergeCell ref="M2:O2"/>
    <mergeCell ref="P2:R2"/>
    <mergeCell ref="S2:U2"/>
    <mergeCell ref="V2:V3"/>
    <mergeCell ref="A1:G1"/>
    <mergeCell ref="A2:A3"/>
    <mergeCell ref="B2:B3"/>
    <mergeCell ref="C2:C3"/>
    <mergeCell ref="D2:D3"/>
    <mergeCell ref="E2:E3"/>
  </mergeCells>
  <phoneticPr fontId="1"/>
  <pageMargins left="0.70866141732283472" right="0.70866141732283472" top="0.74803149606299213" bottom="0.74803149606299213" header="0.31496062992125984" footer="0.31496062992125984"/>
  <pageSetup paperSize="9" scale="86" fitToHeight="0" orientation="landscape" blackAndWhite="1" r:id="rId1"/>
  <headerFoot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全勤務日設定">
                <anchor moveWithCells="1" sizeWithCells="1">
                  <from>
                    <xdr:col>6</xdr:col>
                    <xdr:colOff>1935480</xdr:colOff>
                    <xdr:row>0</xdr:row>
                    <xdr:rowOff>297180</xdr:rowOff>
                  </from>
                  <to>
                    <xdr:col>6</xdr:col>
                    <xdr:colOff>2804160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特別日勤務設定">
                <anchor moveWithCells="1" sizeWithCells="1">
                  <from>
                    <xdr:col>8</xdr:col>
                    <xdr:colOff>45720</xdr:colOff>
                    <xdr:row>0</xdr:row>
                    <xdr:rowOff>38100</xdr:rowOff>
                  </from>
                  <to>
                    <xdr:col>8</xdr:col>
                    <xdr:colOff>937260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13</vt:i4>
      </vt:variant>
    </vt:vector>
  </HeadingPairs>
  <TitlesOfParts>
    <vt:vector size="17" baseType="lpstr">
      <vt:lpstr>個別シフト表</vt:lpstr>
      <vt:lpstr>管理台帳</vt:lpstr>
      <vt:lpstr>給与集計</vt:lpstr>
      <vt:lpstr>謝礼集計</vt:lpstr>
      <vt:lpstr>謝礼集計!Print_Area</vt:lpstr>
      <vt:lpstr>謝礼集計!Print_Titles</vt:lpstr>
      <vt:lpstr>氏名</vt:lpstr>
      <vt:lpstr>台帳_A深夜範囲</vt:lpstr>
      <vt:lpstr>台帳_A通常範囲</vt:lpstr>
      <vt:lpstr>台帳_B通常範囲</vt:lpstr>
      <vt:lpstr>台帳_氏名範囲</vt:lpstr>
      <vt:lpstr>台帳_集計月</vt:lpstr>
      <vt:lpstr>台帳_有給</vt:lpstr>
      <vt:lpstr>台帳_例月範囲</vt:lpstr>
      <vt:lpstr>昼標準シフト</vt:lpstr>
      <vt:lpstr>夜標準シフト</vt:lpstr>
      <vt:lpstr>例月区分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敬之</dc:creator>
  <cp:lastModifiedBy>takayuki ito</cp:lastModifiedBy>
  <cp:lastPrinted>2023-11-10T08:38:42Z</cp:lastPrinted>
  <dcterms:created xsi:type="dcterms:W3CDTF">2023-10-26T08:53:04Z</dcterms:created>
  <dcterms:modified xsi:type="dcterms:W3CDTF">2023-11-20T14:51:13Z</dcterms:modified>
</cp:coreProperties>
</file>